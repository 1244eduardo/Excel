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ilson\Documents\"/>
    </mc:Choice>
  </mc:AlternateContent>
  <xr:revisionPtr revIDLastSave="0" documentId="13_ncr:1_{A65703E9-62AD-4E24-A87F-9876ADE46D20}" xr6:coauthVersionLast="40" xr6:coauthVersionMax="40" xr10:uidLastSave="{00000000-0000-0000-0000-000000000000}"/>
  <bookViews>
    <workbookView xWindow="0" yWindow="0" windowWidth="19200" windowHeight="7425" firstSheet="2" activeTab="6" xr2:uid="{DB399C3B-26B4-47DB-8068-38C6CDDC9114}"/>
  </bookViews>
  <sheets>
    <sheet name="Acomodações" sheetId="1" r:id="rId1"/>
    <sheet name="Clientes" sheetId="2" r:id="rId2"/>
    <sheet name="Reservas" sheetId="3" r:id="rId3"/>
    <sheet name="Tabela Dinâmica" sheetId="6" r:id="rId4"/>
    <sheet name="Dados" sheetId="4" r:id="rId5"/>
    <sheet name="Lição de Casa" sheetId="5" r:id="rId6"/>
    <sheet name="Tabela Dinâmica Pessoal" sheetId="7" r:id="rId7"/>
  </sheets>
  <externalReferences>
    <externalReference r:id="rId8"/>
    <externalReference r:id="rId9"/>
    <externalReference r:id="rId10"/>
    <externalReference r:id="rId11"/>
  </externalReferences>
  <definedNames>
    <definedName name="_xlcn.WorksheetConnection_tabelas_dinamicas_III.xlsmCategorias1" hidden="1">Categorias[]</definedName>
    <definedName name="_xlcn.WorksheetConnection_tabelas_dinamicas_III.xlsmLicaoDeCasa1" hidden="1">LicaoDeCasa[]</definedName>
    <definedName name="_xlcn.WorksheetConnection_tabelas_dinamicas_III.xlsmTipos1" hidden="1">Tipos[]</definedName>
    <definedName name="_xlcn.WorksheetConnection_tabelas_dinamicas_III.xlsxAcomodacoes1" hidden="1">Acomodacoes[]</definedName>
    <definedName name="_xlcn.WorksheetConnection_tabelas_dinamicas_III.xlsxClientes1" hidden="1">Clientes[]</definedName>
    <definedName name="_xlcn.WorksheetConnection_tabelas_dinamicas_III.xlsxReservas1" hidden="1">Reservas[]</definedName>
    <definedName name="hoteis_smart_lucro_liquido">'[1]Hotéis Smart'!$C$3:$C$9</definedName>
    <definedName name="RegrasProch" localSheetId="0">'[2]PROCV e PROCH'!$I$12:$L$13</definedName>
    <definedName name="RegrasProch" localSheetId="4">'[2]PROCV e PROCH'!$I$12:$L$13</definedName>
    <definedName name="RegrasProch" localSheetId="5">'[2]PROCV e PROCH'!$I$12:$L$13</definedName>
    <definedName name="regrasProch">'[3]Função PROCH'!$I$8:$L$9</definedName>
    <definedName name="regrasProcv">'[3]Função PROCV Nomes Intervalos'!$H$3:$I$6</definedName>
    <definedName name="taxaComissao2">'[4]Nomes de Intervalos'!$G$4</definedName>
  </definedNames>
  <calcPr calcId="181029"/>
  <pivotCaches>
    <pivotCache cacheId="85" r:id="rId12"/>
    <pivotCache cacheId="112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servas" name="Reservas" connection="WorksheetConnection_tabelas_dinamicas_III.xlsx!Reservas"/>
          <x15:modelTable id="Clientes" name="Clientes" connection="WorksheetConnection_tabelas_dinamicas_III.xlsx!Clientes"/>
          <x15:modelTable id="Acomodacoes" name="Acomodacoes" connection="WorksheetConnection_tabelas_dinamicas_III.xlsx!Acomodacoes"/>
          <x15:modelTable id="LicaoDeCasa" name="LicaoDeCasa" connection="WorksheetConnection_tabelas_dinamicas_III.xlsm!LicaoDeCasa"/>
          <x15:modelTable id="Categorias" name="Categorias" connection="WorksheetConnection_tabelas_dinamicas_III.xlsm!Categorias"/>
          <x15:modelTable id="Tipos" name="Tipos" connection="WorksheetConnection_tabelas_dinamicas_III.xlsm!Tipos"/>
        </x15:modelTables>
        <x15:modelRelationships>
          <x15:modelRelationship fromTable="Reservas" fromColumn="ClienteID" toTable="Clientes" toColumn="ClienteID"/>
          <x15:modelRelationship fromTable="Reservas" fromColumn="AcomodacaoID" toTable="Acomodacoes" toColumn="AcomodacaoID"/>
          <x15:modelRelationship fromTable="LicaoDeCasa" fromColumn="CategoriaID" toTable="Categorias" toColumn="CategoriaID"/>
          <x15:modelRelationship fromTable="LicaoDeCasa" fromColumn="TipoID" toTable="Tipos" toColumn="Tipo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caoDeCasa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E2916-B455-4477-9E24-C9E767943A74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2C89355-DBDB-4FB6-9F9A-CA88D4A97238}" name="WorksheetConnection_tabelas_dinamicas_III.xlsm!Categorias" type="102" refreshedVersion="6" minRefreshableVersion="5">
    <extLst>
      <ext xmlns:x15="http://schemas.microsoft.com/office/spreadsheetml/2010/11/main" uri="{DE250136-89BD-433C-8126-D09CA5730AF9}">
        <x15:connection id="Categorias">
          <x15:rangePr sourceName="_xlcn.WorksheetConnection_tabelas_dinamicas_III.xlsmCategorias1"/>
        </x15:connection>
      </ext>
    </extLst>
  </connection>
  <connection id="3" xr16:uid="{86BD75B8-3D94-490C-A30C-21426F9E8DAC}" name="WorksheetConnection_tabelas_dinamicas_III.xlsm!LicaoDeCasa" type="102" refreshedVersion="6" minRefreshableVersion="5">
    <extLst>
      <ext xmlns:x15="http://schemas.microsoft.com/office/spreadsheetml/2010/11/main" uri="{DE250136-89BD-433C-8126-D09CA5730AF9}">
        <x15:connection id="LicaoDeCasa">
          <x15:rangePr sourceName="_xlcn.WorksheetConnection_tabelas_dinamicas_III.xlsmLicaoDeCasa1"/>
        </x15:connection>
      </ext>
    </extLst>
  </connection>
  <connection id="4" xr16:uid="{F131C5EB-5B13-482C-9609-656DF961A034}" name="WorksheetConnection_tabelas_dinamicas_III.xlsm!Tipos" type="102" refreshedVersion="6" minRefreshableVersion="5">
    <extLst>
      <ext xmlns:x15="http://schemas.microsoft.com/office/spreadsheetml/2010/11/main" uri="{DE250136-89BD-433C-8126-D09CA5730AF9}">
        <x15:connection id="Tipos">
          <x15:rangePr sourceName="_xlcn.WorksheetConnection_tabelas_dinamicas_III.xlsmTipos1"/>
        </x15:connection>
      </ext>
    </extLst>
  </connection>
  <connection id="5" xr16:uid="{E00176BD-64C4-4A71-86C4-0E70CC599204}" name="WorksheetConnection_tabelas_dinamicas_III.xlsx!Acomodacoes" type="102" refreshedVersion="6" minRefreshableVersion="5">
    <extLst>
      <ext xmlns:x15="http://schemas.microsoft.com/office/spreadsheetml/2010/11/main" uri="{DE250136-89BD-433C-8126-D09CA5730AF9}">
        <x15:connection id="Acomodacoes">
          <x15:rangePr sourceName="_xlcn.WorksheetConnection_tabelas_dinamicas_III.xlsxAcomodacoes1"/>
        </x15:connection>
      </ext>
    </extLst>
  </connection>
  <connection id="6" xr16:uid="{79C115A5-B76E-4C78-8899-48A97411EAD5}" name="WorksheetConnection_tabelas_dinamicas_III.xlsx!Clientes" type="102" refreshedVersion="6" minRefreshableVersion="5">
    <extLst>
      <ext xmlns:x15="http://schemas.microsoft.com/office/spreadsheetml/2010/11/main" uri="{DE250136-89BD-433C-8126-D09CA5730AF9}">
        <x15:connection id="Clientes">
          <x15:rangePr sourceName="_xlcn.WorksheetConnection_tabelas_dinamicas_III.xlsxClientes1"/>
        </x15:connection>
      </ext>
    </extLst>
  </connection>
  <connection id="7" xr16:uid="{FD4A1548-7802-42F8-8131-85C5249CB530}" name="WorksheetConnection_tabelas_dinamicas_III.xlsx!Reservas" type="102" refreshedVersion="6" minRefreshableVersion="5">
    <extLst>
      <ext xmlns:x15="http://schemas.microsoft.com/office/spreadsheetml/2010/11/main" uri="{DE250136-89BD-433C-8126-D09CA5730AF9}">
        <x15:connection id="Reservas">
          <x15:rangePr sourceName="_xlcn.WorksheetConnection_tabelas_dinamicas_III.xlsxReservas1"/>
        </x15:connection>
      </ext>
    </extLst>
  </connection>
</connections>
</file>

<file path=xl/sharedStrings.xml><?xml version="1.0" encoding="utf-8"?>
<sst xmlns="http://schemas.openxmlformats.org/spreadsheetml/2006/main" count="214" uniqueCount="92">
  <si>
    <t>Hotel Smart Salvador</t>
  </si>
  <si>
    <t>AcomodacaoID</t>
  </si>
  <si>
    <t>Acomodações</t>
  </si>
  <si>
    <t>Apartamento Standard</t>
  </si>
  <si>
    <t>Apartamento Superior</t>
  </si>
  <si>
    <t>Apartamento Máster</t>
  </si>
  <si>
    <t>Apartamento Oceânico</t>
  </si>
  <si>
    <t>ClienteID</t>
  </si>
  <si>
    <t>Nome do Pax</t>
  </si>
  <si>
    <t>Estado</t>
  </si>
  <si>
    <t>Cidade</t>
  </si>
  <si>
    <t>Cristiano Aparecido</t>
  </si>
  <si>
    <t>SP</t>
  </si>
  <si>
    <t>São Paulo</t>
  </si>
  <si>
    <t>Ronaldo Lima</t>
  </si>
  <si>
    <t>Guarulhos</t>
  </si>
  <si>
    <t>Juliana Amaral</t>
  </si>
  <si>
    <t>Campinas</t>
  </si>
  <si>
    <t>Rafael De Sousa</t>
  </si>
  <si>
    <t>RJ</t>
  </si>
  <si>
    <t>Rio de Janeiro</t>
  </si>
  <si>
    <t xml:space="preserve">Igor Souza </t>
  </si>
  <si>
    <t>MG</t>
  </si>
  <si>
    <t>Belo Horizonte</t>
  </si>
  <si>
    <t>Joyce Coutinho</t>
  </si>
  <si>
    <t>GO</t>
  </si>
  <si>
    <t>Goiânia</t>
  </si>
  <si>
    <t>Paulo Sergio</t>
  </si>
  <si>
    <t>Aparecida de Goiânia</t>
  </si>
  <si>
    <t>Cris Luziane</t>
  </si>
  <si>
    <t>Uberlândia</t>
  </si>
  <si>
    <t xml:space="preserve">Evelin Ferreira </t>
  </si>
  <si>
    <t>São Gonçalo</t>
  </si>
  <si>
    <t>Leandro Henrique</t>
  </si>
  <si>
    <t>José dos Campos</t>
  </si>
  <si>
    <t>Erik Almeida</t>
  </si>
  <si>
    <t>Patricia Rosa</t>
  </si>
  <si>
    <t>Camila Mendes</t>
  </si>
  <si>
    <t>Raissa Soares</t>
  </si>
  <si>
    <t xml:space="preserve">Neidson Luiz </t>
  </si>
  <si>
    <t>Antonio Ricardo</t>
  </si>
  <si>
    <t>Geraldo Pereira</t>
  </si>
  <si>
    <t>Edson Brito</t>
  </si>
  <si>
    <t>Diego Henrique</t>
  </si>
  <si>
    <t>Olivio Mariano</t>
  </si>
  <si>
    <t xml:space="preserve">Naye Nobre </t>
  </si>
  <si>
    <t>Jonathan Silva</t>
  </si>
  <si>
    <t>Tito Marcos</t>
  </si>
  <si>
    <t>Maikon Pereira</t>
  </si>
  <si>
    <t>Joao Carlos</t>
  </si>
  <si>
    <t>Thiago Augusto</t>
  </si>
  <si>
    <t>Danilo Santos Barreto</t>
  </si>
  <si>
    <t>Franclin Fagundes</t>
  </si>
  <si>
    <t>Jasiel Souza</t>
  </si>
  <si>
    <t>Emilly Cerqueira</t>
  </si>
  <si>
    <t>ReservaID</t>
  </si>
  <si>
    <t>Reserva</t>
  </si>
  <si>
    <t>Valor Total</t>
  </si>
  <si>
    <t>Status</t>
  </si>
  <si>
    <t>OK</t>
  </si>
  <si>
    <t>Não</t>
  </si>
  <si>
    <t>Dados</t>
  </si>
  <si>
    <t>CategoriaID</t>
  </si>
  <si>
    <t>Categorias</t>
  </si>
  <si>
    <t>TipoID</t>
  </si>
  <si>
    <t>Tipo</t>
  </si>
  <si>
    <t>Salário</t>
  </si>
  <si>
    <t>Entrada</t>
  </si>
  <si>
    <t>Dividendos</t>
  </si>
  <si>
    <t>Saída</t>
  </si>
  <si>
    <t>Extras</t>
  </si>
  <si>
    <t>Poupança</t>
  </si>
  <si>
    <t>Investimentos</t>
  </si>
  <si>
    <t>Habitação</t>
  </si>
  <si>
    <t>Transporte</t>
  </si>
  <si>
    <t>Alimentação</t>
  </si>
  <si>
    <t>Impostos</t>
  </si>
  <si>
    <t xml:space="preserve">Extras </t>
  </si>
  <si>
    <t>Fluxo de Caixa Pessoal</t>
  </si>
  <si>
    <t>Data</t>
  </si>
  <si>
    <t>Valor</t>
  </si>
  <si>
    <t>Rótulos de Linha</t>
  </si>
  <si>
    <t>Total Geral</t>
  </si>
  <si>
    <t>Soma de Valor Total</t>
  </si>
  <si>
    <t>Rótulos de Coluna</t>
  </si>
  <si>
    <t>Soma de Valor</t>
  </si>
  <si>
    <t>jan</t>
  </si>
  <si>
    <t>fev</t>
  </si>
  <si>
    <t>mar</t>
  </si>
  <si>
    <t>abr</t>
  </si>
  <si>
    <t>mai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</si>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</sst>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000"/>
    <numFmt numFmtId="165" formatCode="00"/>
    <numFmt numFmtId="166" formatCode="_-&quot;R$&quot;\ * #,##0_-;\-&quot;R$&quot;\ * #,##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2" fontId="0" fillId="0" borderId="0" xfId="0" applyNumberFormat="1"/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/>
    <xf numFmtId="0" fontId="3" fillId="3" borderId="0" xfId="0" applyFont="1" applyFill="1" applyBorder="1" applyAlignment="1">
      <alignment horizontal="left"/>
    </xf>
    <xf numFmtId="1" fontId="0" fillId="4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0" fontId="0" fillId="4" borderId="1" xfId="0" applyNumberFormat="1" applyFont="1" applyFill="1" applyBorder="1" applyAlignment="1">
      <alignment horizontal="center"/>
    </xf>
    <xf numFmtId="0" fontId="0" fillId="4" borderId="1" xfId="0" applyNumberFormat="1" applyFont="1" applyFill="1" applyBorder="1" applyAlignment="1">
      <alignment horizontal="left"/>
    </xf>
    <xf numFmtId="1" fontId="0" fillId="0" borderId="1" xfId="0" applyNumberFormat="1" applyFont="1" applyBorder="1" applyAlignment="1">
      <alignment horizontal="center"/>
    </xf>
    <xf numFmtId="0" fontId="0" fillId="0" borderId="1" xfId="0" applyFont="1" applyBorder="1"/>
    <xf numFmtId="0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4" borderId="1" xfId="0" applyFont="1" applyFill="1" applyBorder="1" applyAlignment="1">
      <alignment horizontal="left"/>
    </xf>
    <xf numFmtId="0" fontId="0" fillId="0" borderId="1" xfId="0" applyNumberFormat="1" applyFont="1" applyBorder="1" applyAlignment="1">
      <alignment horizontal="left"/>
    </xf>
    <xf numFmtId="0" fontId="0" fillId="0" borderId="0" xfId="0" applyFont="1"/>
    <xf numFmtId="0" fontId="0" fillId="0" borderId="0" xfId="0" applyAlignment="1">
      <alignment horizontal="left"/>
    </xf>
    <xf numFmtId="14" fontId="0" fillId="4" borderId="1" xfId="0" applyNumberFormat="1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44" fontId="0" fillId="4" borderId="1" xfId="0" applyNumberFormat="1" applyFont="1" applyFill="1" applyBorder="1"/>
    <xf numFmtId="14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44" fontId="0" fillId="0" borderId="1" xfId="0" applyNumberFormat="1" applyFont="1" applyBorder="1"/>
    <xf numFmtId="44" fontId="0" fillId="0" borderId="0" xfId="0" applyNumberFormat="1" applyAlignment="1">
      <alignment horizontal="center"/>
    </xf>
    <xf numFmtId="14" fontId="0" fillId="0" borderId="0" xfId="0" applyNumberFormat="1" applyAlignment="1"/>
    <xf numFmtId="0" fontId="2" fillId="3" borderId="0" xfId="0" applyFont="1" applyFill="1"/>
    <xf numFmtId="14" fontId="4" fillId="0" borderId="2" xfId="0" applyNumberFormat="1" applyFont="1" applyFill="1" applyBorder="1"/>
    <xf numFmtId="164" fontId="4" fillId="0" borderId="2" xfId="0" applyNumberFormat="1" applyFont="1" applyFill="1" applyBorder="1" applyAlignment="1">
      <alignment horizontal="center"/>
    </xf>
    <xf numFmtId="44" fontId="4" fillId="0" borderId="2" xfId="0" applyNumberFormat="1" applyFont="1" applyFill="1" applyBorder="1"/>
    <xf numFmtId="166" fontId="0" fillId="0" borderId="0" xfId="0" applyNumberFormat="1"/>
    <xf numFmtId="166" fontId="4" fillId="0" borderId="2" xfId="0" applyNumberFormat="1" applyFont="1" applyFill="1" applyBorder="1"/>
    <xf numFmtId="166" fontId="4" fillId="0" borderId="3" xfId="0" applyNumberFormat="1" applyFont="1" applyFill="1" applyBorder="1"/>
    <xf numFmtId="166" fontId="4" fillId="0" borderId="4" xfId="0" applyNumberFormat="1" applyFont="1" applyFill="1" applyBorder="1"/>
    <xf numFmtId="14" fontId="4" fillId="0" borderId="3" xfId="0" applyNumberFormat="1" applyFont="1" applyFill="1" applyBorder="1"/>
    <xf numFmtId="164" fontId="4" fillId="0" borderId="3" xfId="0" applyNumberFormat="1" applyFont="1" applyFill="1" applyBorder="1" applyAlignment="1">
      <alignment horizontal="center"/>
    </xf>
    <xf numFmtId="0" fontId="0" fillId="0" borderId="0" xfId="0" pivotButton="1"/>
    <xf numFmtId="4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&quot;R$&quot;\ * #,##0_-;\-&quot;R$&quot;\ * #,##0_-;_-&quot;R$&quot;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border outline="0">
        <bottom style="thin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numFmt numFmtId="19" formatCode="dd/mm/yyyy"/>
      <alignment horizontal="left" vertical="bottom" textRotation="0" wrapText="0" indent="0" justifyLastLine="0" shrinkToFit="0" readingOrder="0"/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2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175846</xdr:colOff>
      <xdr:row>0</xdr:row>
      <xdr:rowOff>65942</xdr:rowOff>
    </xdr:from>
    <xdr:to>
      <xdr:col>3</xdr:col>
      <xdr:colOff>571500</xdr:colOff>
      <xdr:row>1</xdr:row>
      <xdr:rowOff>131885</xdr:rowOff>
    </xdr:to>
    <xdr:sp macro="[0]!ReservasCidad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D4BAC93-3161-4722-BD31-7D59B7D6DE80}"/>
            </a:ext>
          </a:extLst>
        </xdr:cNvPr>
        <xdr:cNvSpPr/>
      </xdr:nvSpPr>
      <xdr:spPr>
        <a:xfrm>
          <a:off x="2813538" y="65942"/>
          <a:ext cx="1318847" cy="25644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Cidades</a:t>
          </a:r>
        </a:p>
      </xdr:txBody>
    </xdr:sp>
    <xdr:clientData/>
  </xdr:twoCellAnchor>
  <xdr:twoCellAnchor>
    <xdr:from>
      <xdr:col>3</xdr:col>
      <xdr:colOff>701919</xdr:colOff>
      <xdr:row>0</xdr:row>
      <xdr:rowOff>64476</xdr:rowOff>
    </xdr:from>
    <xdr:to>
      <xdr:col>5</xdr:col>
      <xdr:colOff>174382</xdr:colOff>
      <xdr:row>1</xdr:row>
      <xdr:rowOff>130419</xdr:rowOff>
    </xdr:to>
    <xdr:sp macro="[0]!ReservasApartame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0F5FA87-E1C1-4E9F-8DA3-0442486D2D1F}"/>
            </a:ext>
          </a:extLst>
        </xdr:cNvPr>
        <xdr:cNvSpPr/>
      </xdr:nvSpPr>
      <xdr:spPr>
        <a:xfrm>
          <a:off x="4262804" y="64476"/>
          <a:ext cx="1318847" cy="25644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Apartamentos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-2016-treinamento-essencial/funcoes-recursos-adicionai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urso-Excel-2016-Treinamento-Essencial-M&#243;dulo-I/Excel%202016%20-%20Treinamento%20Essenci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uncoes_avancadas_I_fin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ção SE Comissão Vendedores"/>
      <sheetName val="Função SEERRO"/>
      <sheetName val="Função ORDEM"/>
      <sheetName val="Função SOMASE"/>
      <sheetName val="Função MÉDIASE"/>
      <sheetName val="Função CONT.SE"/>
      <sheetName val="Função SOMASES"/>
      <sheetName val="Função MÉDIASES"/>
      <sheetName val="Função CONT.SES"/>
      <sheetName val="Função SOMASES Teste Lógico"/>
      <sheetName val="Função PROCV Exata"/>
      <sheetName val="Função PROCV Aproximada"/>
      <sheetName val="Função PROCV Reajuste de Preços"/>
      <sheetName val="Função PROCV Nomes Intervalos"/>
      <sheetName val="Função PROCH"/>
      <sheetName val="Função SOMARPRODUTO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H3">
            <v>0</v>
          </cell>
          <cell r="I3">
            <v>0.2</v>
          </cell>
        </row>
        <row r="4">
          <cell r="H4">
            <v>100</v>
          </cell>
          <cell r="I4">
            <v>0.15</v>
          </cell>
        </row>
        <row r="5">
          <cell r="H5">
            <v>500</v>
          </cell>
          <cell r="I5">
            <v>0.1</v>
          </cell>
        </row>
        <row r="6">
          <cell r="H6">
            <v>1000</v>
          </cell>
          <cell r="I6">
            <v>0.05</v>
          </cell>
        </row>
      </sheetData>
      <sheetData sheetId="14">
        <row r="8">
          <cell r="I8">
            <v>0</v>
          </cell>
          <cell r="J8">
            <v>100</v>
          </cell>
          <cell r="K8">
            <v>500</v>
          </cell>
          <cell r="L8">
            <v>1000</v>
          </cell>
        </row>
        <row r="9">
          <cell r="I9">
            <v>0.2</v>
          </cell>
          <cell r="J9">
            <v>0.15</v>
          </cell>
          <cell r="K9">
            <v>0.1</v>
          </cell>
          <cell r="L9">
            <v>0.05</v>
          </cell>
        </row>
      </sheetData>
      <sheetData sheetId="15"/>
      <sheetData sheetId="1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G4">
            <v>1.4999999999999999E-2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amaica" refreshedDate="43460.993974421297" backgroundQuery="1" createdVersion="6" refreshedVersion="6" minRefreshableVersion="3" recordCount="0" supportSubquery="1" supportAdvancedDrill="1" xr:uid="{8ACD8A23-9592-4244-9659-CE54FF4B8502}">
  <cacheSource type="external" connectionId="1"/>
  <cacheFields count="3">
    <cacheField name="[Measures].[Soma de Valor Total]" caption="Soma de Valor Total" numFmtId="0" hierarchy="29" level="32767"/>
    <cacheField name="[Clientes].[Cidade].[Cidade]" caption="Cidade" numFmtId="0" hierarchy="4" level="1">
      <sharedItems count="10">
        <s v="Campinas"/>
        <s v="Goiânia"/>
        <s v="Guarulhos"/>
        <s v="José dos Campos"/>
        <s v="São Gonçalo"/>
        <s v="Uberlândia"/>
        <s v="Belo Horizonte"/>
        <s v="Rio de Janeiro"/>
        <s v="São Paulo"/>
        <s v="Aparecida de Goiânia"/>
      </sharedItems>
    </cacheField>
    <cacheField name="[Acomodacoes].[Acomodações].[Acomodações]" caption="Acomodações" numFmtId="0" hierarchy="1" level="1">
      <sharedItems count="4">
        <s v="Apartamento Máster"/>
        <s v="Apartamento Oceânico"/>
        <s v="Apartamento Standard"/>
        <s v="Apartamento Superior"/>
      </sharedItems>
    </cacheField>
  </cacheFields>
  <cacheHierarchies count="31">
    <cacheHierarchy uniqueName="[Acomodacoes].[AcomodacaoID]" caption="AcomodacaoID" attribute="1" defaultMemberUniqueName="[Acomodacoes].[AcomodacaoID].[All]" allUniqueName="[Acomodacoes].[AcomodacaoID].[All]" dimensionUniqueName="[Acomodacoes]" displayFolder="" count="0" memberValueDatatype="20" unbalanced="0"/>
    <cacheHierarchy uniqueName="[Acomodacoes].[Acomodações]" caption="Acomodações" attribute="1" defaultMemberUniqueName="[Acomodacoes].[Acomodações].[All]" allUniqueName="[Acomodacoes].[Acomodações].[All]" dimensionUniqueName="[Acomodacoes]" displayFolder="" count="2" memberValueDatatype="130" unbalanced="0">
      <fieldsUsage count="2">
        <fieldUsage x="-1"/>
        <fieldUsage x="2"/>
      </fieldsUsage>
    </cacheHierarchy>
    <cacheHierarchy uniqueName="[Categorias].[CategoriaID]" caption="CategoriaID" attribute="1" defaultMemberUniqueName="[Categorias].[CategoriaID].[All]" allUniqueName="[Categorias].[CategoriaID].[All]" dimensionUniqueName="[Categorias]" displayFolder="" count="0" memberValueDatatype="20" unbalanced="0"/>
    <cacheHierarchy uniqueName="[Categorias].[Categorias]" caption="Categorias" attribute="1" defaultMemberUniqueName="[Categorias].[Categorias].[All]" allUniqueName="[Categorias].[Categorias].[All]" dimensionUniqueName="[Categorias]" displayFolder="" count="0" memberValueDatatype="130" unbalanced="0"/>
    <cacheHierarchy uniqueName="[Clientes].[Cidade]" caption="Cidade" attribute="1" defaultMemberUniqueName="[Clientes].[Cidade].[All]" allUniqueName="[Clientes].[Cidade].[All]" dimensionUniqueName="[Clientes]" displayFolder="" count="2" memberValueDatatype="130" unbalanced="0">
      <fieldsUsage count="2">
        <fieldUsage x="-1"/>
        <fieldUsage x="1"/>
      </fieldsUsage>
    </cacheHierarchy>
    <cacheHierarchy uniqueName="[Clientes].[ClienteID]" caption="ClienteID" attribute="1" defaultMemberUniqueName="[Clientes].[ClienteID].[All]" allUniqueName="[Clientes].[ClienteID].[All]" dimensionUniqueName="[Clientes]" displayFolder="" count="0" memberValueDatatype="20" unbalanced="0"/>
    <cacheHierarchy uniqueName="[Clientes].[Estado]" caption="Estado" attribute="1" defaultMemberUniqueName="[Clientes].[Estado].[All]" allUniqueName="[Clientes].[Estado].[All]" dimensionUniqueName="[Clientes]" displayFolder="" count="0" memberValueDatatype="130" unbalanced="0"/>
    <cacheHierarchy uniqueName="[Clientes].[Nome do Pax]" caption="Nome do Pax" attribute="1" defaultMemberUniqueName="[Clientes].[Nome do Pax].[All]" allUniqueName="[Clientes].[Nome do Pax].[All]" dimensionUniqueName="[Clientes]" displayFolder="" count="0" memberValueDatatype="130" unbalanced="0"/>
    <cacheHierarchy uniqueName="[LicaoDeCasa].[CategoriaID]" caption="CategoriaID" attribute="1" defaultMemberUniqueName="[LicaoDeCasa].[CategoriaID].[All]" allUniqueName="[LicaoDeCasa].[CategoriaID].[All]" dimensionUniqueName="[LicaoDeCasa]" displayFolder="" count="0" memberValueDatatype="20" unbalanced="0"/>
    <cacheHierarchy uniqueName="[LicaoDeCasa].[Data]" caption="Data" attribute="1" time="1" defaultMemberUniqueName="[LicaoDeCasa].[Data].[All]" allUniqueName="[LicaoDeCasa].[Data].[All]" dimensionUniqueName="[LicaoDeCasa]" displayFolder="" count="0" memberValueDatatype="7" unbalanced="0"/>
    <cacheHierarchy uniqueName="[LicaoDeCasa].[Data (Mês)]" caption="Data (Mês)" attribute="1" defaultMemberUniqueName="[LicaoDeCasa].[Data (Mês)].[All]" allUniqueName="[LicaoDeCasa].[Data (Mês)].[All]" dimensionUniqueName="[LicaoDeCasa]" displayFolder="" count="0" memberValueDatatype="130" unbalanced="0"/>
    <cacheHierarchy uniqueName="[LicaoDeCasa].[TipoID]" caption="TipoID" attribute="1" defaultMemberUniqueName="[LicaoDeCasa].[TipoID].[All]" allUniqueName="[LicaoDeCasa].[TipoID].[All]" dimensionUniqueName="[LicaoDeCasa]" displayFolder="" count="0" memberValueDatatype="20" unbalanced="0"/>
    <cacheHierarchy uniqueName="[LicaoDeCasa].[Valor]" caption="Valor" attribute="1" defaultMemberUniqueName="[LicaoDeCasa].[Valor].[All]" allUniqueName="[LicaoDeCasa].[Valor].[All]" dimensionUniqueName="[LicaoDeCasa]" displayFolder="" count="0" memberValueDatatype="5" unbalanced="0"/>
    <cacheHierarchy uniqueName="[Reservas].[AcomodacaoID]" caption="AcomodacaoID" attribute="1" defaultMemberUniqueName="[Reservas].[AcomodacaoID].[All]" allUniqueName="[Reservas].[AcomodacaoID].[All]" dimensionUniqueName="[Reservas]" displayFolder="" count="0" memberValueDatatype="20" unbalanced="0"/>
    <cacheHierarchy uniqueName="[Reservas].[ClienteID]" caption="ClienteID" attribute="1" defaultMemberUniqueName="[Reservas].[ClienteID].[All]" allUniqueName="[Reservas].[ClienteID].[All]" dimensionUniqueName="[Reservas]" displayFolder="" count="0" memberValueDatatype="20" unbalanced="0"/>
    <cacheHierarchy uniqueName="[Reservas].[Reserva]" caption="Reserva" attribute="1" time="1" defaultMemberUniqueName="[Reservas].[Reserva].[All]" allUniqueName="[Reservas].[Reserva].[All]" dimensionUniqueName="[Reservas]" displayFolder="" count="0" memberValueDatatype="7" unbalanced="0"/>
    <cacheHierarchy uniqueName="[Reservas].[ReservaID]" caption="ReservaID" attribute="1" defaultMemberUniqueName="[Reservas].[ReservaID].[All]" allUniqueName="[Reservas].[ReservaID].[All]" dimensionUniqueName="[Reservas]" displayFolder="" count="0" memberValueDatatype="20" unbalanced="0"/>
    <cacheHierarchy uniqueName="[Reservas].[Status]" caption="Status" attribute="1" defaultMemberUniqueName="[Reservas].[Status].[All]" allUniqueName="[Reservas].[Status].[All]" dimensionUniqueName="[Reservas]" displayFolder="" count="0" memberValueDatatype="130" unbalanced="0"/>
    <cacheHierarchy uniqueName="[Reservas].[Valor Total]" caption="Valor Total" attribute="1" defaultMemberUniqueName="[Reservas].[Valor Total].[All]" allUniqueName="[Reservas].[Valor Total].[All]" dimensionUniqueName="[Reservas]" displayFolder="" count="0" memberValueDatatype="5" unbalanced="0"/>
    <cacheHierarchy uniqueName="[Tipos].[Tipo]" caption="Tipo" attribute="1" defaultMemberUniqueName="[Tipos].[Tipo].[All]" allUniqueName="[Tipos].[Tipo].[All]" dimensionUniqueName="[Tipos]" displayFolder="" count="0" memberValueDatatype="130" unbalanced="0"/>
    <cacheHierarchy uniqueName="[Tipos].[TipoID]" caption="TipoID" attribute="1" defaultMemberUniqueName="[Tipos].[TipoID].[All]" allUniqueName="[Tipos].[TipoID].[All]" dimensionUniqueName="[Tipos]" displayFolder="" count="0" memberValueDatatype="20" unbalanced="0"/>
    <cacheHierarchy uniqueName="[LicaoDeCasa].[Data (Índice de Mês)]" caption="Data (Índice de Mês)" attribute="1" defaultMemberUniqueName="[LicaoDeCasa].[Data (Índice de Mês)].[All]" allUniqueName="[LicaoDeCasa].[Data (Índice de Mês)].[All]" dimensionUniqueName="[LicaoDeCasa]" displayFolder="" count="0" memberValueDatatype="20" unbalanced="0" hidden="1"/>
    <cacheHierarchy uniqueName="[Measures].[__XL_Count Reservas]" caption="__XL_Count Reservas" measure="1" displayFolder="" measureGroup="Reservas" count="0" hidden="1"/>
    <cacheHierarchy uniqueName="[Measures].[__XL_Count Clientes]" caption="__XL_Count Clientes" measure="1" displayFolder="" measureGroup="Clientes" count="0" hidden="1"/>
    <cacheHierarchy uniqueName="[Measures].[__XL_Count Acomodacoes]" caption="__XL_Count Acomodacoes" measure="1" displayFolder="" measureGroup="Acomodacoes" count="0" hidden="1"/>
    <cacheHierarchy uniqueName="[Measures].[__XL_Count LicaoDeCasa]" caption="__XL_Count LicaoDeCasa" measure="1" displayFolder="" measureGroup="LicaoDeCasa" count="0" hidden="1"/>
    <cacheHierarchy uniqueName="[Measures].[__XL_Count Categorias]" caption="__XL_Count Categorias" measure="1" displayFolder="" measureGroup="Categorias" count="0" hidden="1"/>
    <cacheHierarchy uniqueName="[Measures].[__XL_Count Tipos]" caption="__XL_Count Tipos" measure="1" displayFolder="" measureGroup="Tipos" count="0" hidden="1"/>
    <cacheHierarchy uniqueName="[Measures].[__No measures defined]" caption="__No measures defined" measure="1" displayFolder="" count="0" hidden="1"/>
    <cacheHierarchy uniqueName="[Measures].[Soma de Valor Total]" caption="Soma de Valor Total" measure="1" displayFolder="" measureGroup="Reserv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]" caption="Soma de Valor" measure="1" displayFolder="" measureGroup="LicaoDeCas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Acomodacoes" uniqueName="[Acomodacoes]" caption="Acomodacoes"/>
    <dimension name="Categorias" uniqueName="[Categorias]" caption="Categorias"/>
    <dimension name="Clientes" uniqueName="[Clientes]" caption="Clientes"/>
    <dimension name="LicaoDeCasa" uniqueName="[LicaoDeCasa]" caption="LicaoDeCasa"/>
    <dimension measure="1" name="Measures" uniqueName="[Measures]" caption="Measures"/>
    <dimension name="Reservas" uniqueName="[Reservas]" caption="Reservas"/>
    <dimension name="Tipos" uniqueName="[Tipos]" caption="Tipos"/>
  </dimensions>
  <measureGroups count="6">
    <measureGroup name="Acomodacoes" caption="Acomodacoes"/>
    <measureGroup name="Categorias" caption="Categorias"/>
    <measureGroup name="Clientes" caption="Clientes"/>
    <measureGroup name="LicaoDeCasa" caption="LicaoDeCasa"/>
    <measureGroup name="Reservas" caption="Reservas"/>
    <measureGroup name="Tipos" caption="Tipos"/>
  </measureGroups>
  <maps count="10">
    <map measureGroup="0" dimension="0"/>
    <map measureGroup="1" dimension="1"/>
    <map measureGroup="2" dimension="2"/>
    <map measureGroup="3" dimension="1"/>
    <map measureGroup="3" dimension="3"/>
    <map measureGroup="3" dimension="6"/>
    <map measureGroup="4" dimension="0"/>
    <map measureGroup="4" dimension="2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amaica" refreshedDate="43461.003846643522" backgroundQuery="1" createdVersion="6" refreshedVersion="6" minRefreshableVersion="3" recordCount="0" supportSubquery="1" supportAdvancedDrill="1" xr:uid="{88142C8D-2992-4285-8D0F-2E0CA313CD75}">
  <cacheSource type="external" connectionId="1"/>
  <cacheFields count="5">
    <cacheField name="[Measures].[Soma de Valor]" caption="Soma de Valor" numFmtId="0" hierarchy="30" level="32767"/>
    <cacheField name="[Categorias].[Categorias].[Categorias]" caption="Categorias" numFmtId="0" hierarchy="3" level="1">
      <sharedItems count="9">
        <s v="Dividendos"/>
        <s v="Extras"/>
        <s v="Investimentos"/>
        <s v="Poupança"/>
        <s v="Salário"/>
        <s v="Alimentação"/>
        <s v="Habitação"/>
        <s v="Impostos"/>
        <s v="Transporte"/>
      </sharedItems>
    </cacheField>
    <cacheField name="[Tipos].[Tipo].[Tipo]" caption="Tipo" numFmtId="0" hierarchy="19" level="1">
      <sharedItems count="2">
        <s v="Entrada"/>
        <s v="Saída"/>
      </sharedItems>
    </cacheField>
    <cacheField name="[LicaoDeCasa].[Data].[Data]" caption="Data" numFmtId="0" hierarchy="9" level="1">
      <sharedItems containsSemiMixedTypes="0" containsNonDate="0" containsDate="1" containsString="0" minDate="2018-01-05T00:00:00" maxDate="2018-07-01T00:00:00" count="53">
        <d v="2018-01-05T00:00:00"/>
        <d v="2018-01-10T00:00:00"/>
        <d v="2018-01-15T00:00:00"/>
        <d v="2018-01-17T00:00:00"/>
        <d v="2018-01-18T00:00:00"/>
        <d v="2018-01-20T00:00:00"/>
        <d v="2018-01-25T00:00:00"/>
        <d v="2018-01-28T00:00:00"/>
        <d v="2018-01-30T00:00:00"/>
        <d v="2018-02-05T00:00:00"/>
        <d v="2018-02-10T00:00:00"/>
        <d v="2018-02-15T00:00:00"/>
        <d v="2018-02-17T00:00:00"/>
        <d v="2018-02-18T00:00:00"/>
        <d v="2018-02-20T00:00:00"/>
        <d v="2018-02-25T00:00:00"/>
        <d v="2018-02-28T00:00:00"/>
        <d v="2018-03-05T00:00:00"/>
        <d v="2018-03-10T00:00:00"/>
        <d v="2018-03-15T00:00:00"/>
        <d v="2018-03-17T00:00:00"/>
        <d v="2018-03-18T00:00:00"/>
        <d v="2018-03-20T00:00:00"/>
        <d v="2018-03-25T00:00:00"/>
        <d v="2018-03-28T00:00:00"/>
        <d v="2018-03-30T00:00:00"/>
        <d v="2018-04-05T00:00:00"/>
        <d v="2018-04-10T00:00:00"/>
        <d v="2018-04-15T00:00:00"/>
        <d v="2018-04-17T00:00:00"/>
        <d v="2018-04-18T00:00:00"/>
        <d v="2018-04-20T00:00:00"/>
        <d v="2018-04-25T00:00:00"/>
        <d v="2018-04-28T00:00:00"/>
        <d v="2018-04-30T00:00:00"/>
        <d v="2018-05-05T00:00:00"/>
        <d v="2018-05-10T00:00:00"/>
        <d v="2018-05-15T00:00:00"/>
        <d v="2018-05-17T00:00:00"/>
        <d v="2018-05-18T00:00:00"/>
        <d v="2018-05-20T00:00:00"/>
        <d v="2018-05-25T00:00:00"/>
        <d v="2018-05-28T00:00:00"/>
        <d v="2018-05-30T00:00:00"/>
        <d v="2018-06-05T00:00:00"/>
        <d v="2018-06-10T00:00:00"/>
        <d v="2018-06-15T00:00:00"/>
        <d v="2018-06-17T00:00:00"/>
        <d v="2018-06-18T00:00:00"/>
        <d v="2018-06-20T00:00:00"/>
        <d v="2018-06-25T00:00:00"/>
        <d v="2018-06-28T00:00:00"/>
        <d v="2018-06-30T00:00:00"/>
      </sharedItems>
    </cacheField>
    <cacheField name="[LicaoDeCasa].[Data (Mês)].[Data (Mês)]" caption="Data (Mês)" numFmtId="0" hierarchy="10" level="1">
      <sharedItems count="6">
        <s v="jan"/>
        <s v="fev"/>
        <s v="mar"/>
        <s v="abr"/>
        <s v="mai"/>
        <s v="jun"/>
      </sharedItems>
    </cacheField>
  </cacheFields>
  <cacheHierarchies count="31">
    <cacheHierarchy uniqueName="[Acomodacoes].[AcomodacaoID]" caption="AcomodacaoID" attribute="1" defaultMemberUniqueName="[Acomodacoes].[AcomodacaoID].[All]" allUniqueName="[Acomodacoes].[AcomodacaoID].[All]" dimensionUniqueName="[Acomodacoes]" displayFolder="" count="0" memberValueDatatype="20" unbalanced="0"/>
    <cacheHierarchy uniqueName="[Acomodacoes].[Acomodações]" caption="Acomodações" attribute="1" defaultMemberUniqueName="[Acomodacoes].[Acomodações].[All]" allUniqueName="[Acomodacoes].[Acomodações].[All]" dimensionUniqueName="[Acomodacoes]" displayFolder="" count="0" memberValueDatatype="130" unbalanced="0"/>
    <cacheHierarchy uniqueName="[Categorias].[CategoriaID]" caption="CategoriaID" attribute="1" defaultMemberUniqueName="[Categorias].[CategoriaID].[All]" allUniqueName="[Categorias].[CategoriaID].[All]" dimensionUniqueName="[Categorias]" displayFolder="" count="0" memberValueDatatype="20" unbalanced="0"/>
    <cacheHierarchy uniqueName="[Categorias].[Categorias]" caption="Categorias" attribute="1" defaultMemberUniqueName="[Categorias].[Categorias].[All]" allUniqueName="[Categorias].[Categorias].[All]" dimensionUniqueName="[Categorias]" displayFolder="" count="2" memberValueDatatype="130" unbalanced="0">
      <fieldsUsage count="2">
        <fieldUsage x="-1"/>
        <fieldUsage x="1"/>
      </fieldsUsage>
    </cacheHierarchy>
    <cacheHierarchy uniqueName="[Clientes].[Cidade]" caption="Cidade" attribute="1" defaultMemberUniqueName="[Clientes].[Cidade].[All]" allUniqueName="[Clientes].[Cidade].[All]" dimensionUniqueName="[Clientes]" displayFolder="" count="0" memberValueDatatype="130" unbalanced="0"/>
    <cacheHierarchy uniqueName="[Clientes].[ClienteID]" caption="ClienteID" attribute="1" defaultMemberUniqueName="[Clientes].[ClienteID].[All]" allUniqueName="[Clientes].[ClienteID].[All]" dimensionUniqueName="[Clientes]" displayFolder="" count="0" memberValueDatatype="20" unbalanced="0"/>
    <cacheHierarchy uniqueName="[Clientes].[Estado]" caption="Estado" attribute="1" defaultMemberUniqueName="[Clientes].[Estado].[All]" allUniqueName="[Clientes].[Estado].[All]" dimensionUniqueName="[Clientes]" displayFolder="" count="0" memberValueDatatype="130" unbalanced="0"/>
    <cacheHierarchy uniqueName="[Clientes].[Nome do Pax]" caption="Nome do Pax" attribute="1" defaultMemberUniqueName="[Clientes].[Nome do Pax].[All]" allUniqueName="[Clientes].[Nome do Pax].[All]" dimensionUniqueName="[Clientes]" displayFolder="" count="0" memberValueDatatype="130" unbalanced="0"/>
    <cacheHierarchy uniqueName="[LicaoDeCasa].[CategoriaID]" caption="CategoriaID" attribute="1" defaultMemberUniqueName="[LicaoDeCasa].[CategoriaID].[All]" allUniqueName="[LicaoDeCasa].[CategoriaID].[All]" dimensionUniqueName="[LicaoDeCasa]" displayFolder="" count="0" memberValueDatatype="20" unbalanced="0"/>
    <cacheHierarchy uniqueName="[LicaoDeCasa].[Data]" caption="Data" attribute="1" time="1" defaultMemberUniqueName="[LicaoDeCasa].[Data].[All]" allUniqueName="[LicaoDeCasa].[Data].[All]" dimensionUniqueName="[LicaoDeCasa]" displayFolder="" count="2" memberValueDatatype="7" unbalanced="0">
      <fieldsUsage count="2">
        <fieldUsage x="-1"/>
        <fieldUsage x="3"/>
      </fieldsUsage>
    </cacheHierarchy>
    <cacheHierarchy uniqueName="[LicaoDeCasa].[Data (Mês)]" caption="Data (Mês)" attribute="1" defaultMemberUniqueName="[LicaoDeCasa].[Data (Mês)].[All]" allUniqueName="[LicaoDeCasa].[Data (Mês)].[All]" dimensionUniqueName="[LicaoDeCasa]" displayFolder="" count="2" memberValueDatatype="130" unbalanced="0">
      <fieldsUsage count="2">
        <fieldUsage x="-1"/>
        <fieldUsage x="4"/>
      </fieldsUsage>
    </cacheHierarchy>
    <cacheHierarchy uniqueName="[LicaoDeCasa].[TipoID]" caption="TipoID" attribute="1" defaultMemberUniqueName="[LicaoDeCasa].[TipoID].[All]" allUniqueName="[LicaoDeCasa].[TipoID].[All]" dimensionUniqueName="[LicaoDeCasa]" displayFolder="" count="0" memberValueDatatype="20" unbalanced="0"/>
    <cacheHierarchy uniqueName="[LicaoDeCasa].[Valor]" caption="Valor" attribute="1" defaultMemberUniqueName="[LicaoDeCasa].[Valor].[All]" allUniqueName="[LicaoDeCasa].[Valor].[All]" dimensionUniqueName="[LicaoDeCasa]" displayFolder="" count="0" memberValueDatatype="5" unbalanced="0"/>
    <cacheHierarchy uniqueName="[Reservas].[AcomodacaoID]" caption="AcomodacaoID" attribute="1" defaultMemberUniqueName="[Reservas].[AcomodacaoID].[All]" allUniqueName="[Reservas].[AcomodacaoID].[All]" dimensionUniqueName="[Reservas]" displayFolder="" count="0" memberValueDatatype="20" unbalanced="0"/>
    <cacheHierarchy uniqueName="[Reservas].[ClienteID]" caption="ClienteID" attribute="1" defaultMemberUniqueName="[Reservas].[ClienteID].[All]" allUniqueName="[Reservas].[ClienteID].[All]" dimensionUniqueName="[Reservas]" displayFolder="" count="0" memberValueDatatype="20" unbalanced="0"/>
    <cacheHierarchy uniqueName="[Reservas].[Reserva]" caption="Reserva" attribute="1" time="1" defaultMemberUniqueName="[Reservas].[Reserva].[All]" allUniqueName="[Reservas].[Reserva].[All]" dimensionUniqueName="[Reservas]" displayFolder="" count="0" memberValueDatatype="7" unbalanced="0"/>
    <cacheHierarchy uniqueName="[Reservas].[ReservaID]" caption="ReservaID" attribute="1" defaultMemberUniqueName="[Reservas].[ReservaID].[All]" allUniqueName="[Reservas].[ReservaID].[All]" dimensionUniqueName="[Reservas]" displayFolder="" count="0" memberValueDatatype="20" unbalanced="0"/>
    <cacheHierarchy uniqueName="[Reservas].[Status]" caption="Status" attribute="1" defaultMemberUniqueName="[Reservas].[Status].[All]" allUniqueName="[Reservas].[Status].[All]" dimensionUniqueName="[Reservas]" displayFolder="" count="0" memberValueDatatype="130" unbalanced="0"/>
    <cacheHierarchy uniqueName="[Reservas].[Valor Total]" caption="Valor Total" attribute="1" defaultMemberUniqueName="[Reservas].[Valor Total].[All]" allUniqueName="[Reservas].[Valor Total].[All]" dimensionUniqueName="[Reservas]" displayFolder="" count="0" memberValueDatatype="5" unbalanced="0"/>
    <cacheHierarchy uniqueName="[Tipos].[Tipo]" caption="Tipo" attribute="1" defaultMemberUniqueName="[Tipos].[Tipo].[All]" allUniqueName="[Tipos].[Tipo].[All]" dimensionUniqueName="[Tipos]" displayFolder="" count="2" memberValueDatatype="130" unbalanced="0">
      <fieldsUsage count="2">
        <fieldUsage x="-1"/>
        <fieldUsage x="2"/>
      </fieldsUsage>
    </cacheHierarchy>
    <cacheHierarchy uniqueName="[Tipos].[TipoID]" caption="TipoID" attribute="1" defaultMemberUniqueName="[Tipos].[TipoID].[All]" allUniqueName="[Tipos].[TipoID].[All]" dimensionUniqueName="[Tipos]" displayFolder="" count="0" memberValueDatatype="20" unbalanced="0"/>
    <cacheHierarchy uniqueName="[LicaoDeCasa].[Data (Índice de Mês)]" caption="Data (Índice de Mês)" attribute="1" defaultMemberUniqueName="[LicaoDeCasa].[Data (Índice de Mês)].[All]" allUniqueName="[LicaoDeCasa].[Data (Índice de Mês)].[All]" dimensionUniqueName="[LicaoDeCasa]" displayFolder="" count="0" memberValueDatatype="20" unbalanced="0" hidden="1"/>
    <cacheHierarchy uniqueName="[Measures].[__XL_Count Reservas]" caption="__XL_Count Reservas" measure="1" displayFolder="" measureGroup="Reservas" count="0" hidden="1"/>
    <cacheHierarchy uniqueName="[Measures].[__XL_Count Clientes]" caption="__XL_Count Clientes" measure="1" displayFolder="" measureGroup="Clientes" count="0" hidden="1"/>
    <cacheHierarchy uniqueName="[Measures].[__XL_Count Acomodacoes]" caption="__XL_Count Acomodacoes" measure="1" displayFolder="" measureGroup="Acomodacoes" count="0" hidden="1"/>
    <cacheHierarchy uniqueName="[Measures].[__XL_Count LicaoDeCasa]" caption="__XL_Count LicaoDeCasa" measure="1" displayFolder="" measureGroup="LicaoDeCasa" count="0" hidden="1"/>
    <cacheHierarchy uniqueName="[Measures].[__XL_Count Categorias]" caption="__XL_Count Categorias" measure="1" displayFolder="" measureGroup="Categorias" count="0" hidden="1"/>
    <cacheHierarchy uniqueName="[Measures].[__XL_Count Tipos]" caption="__XL_Count Tipos" measure="1" displayFolder="" measureGroup="Tipos" count="0" hidden="1"/>
    <cacheHierarchy uniqueName="[Measures].[__No measures defined]" caption="__No measures defined" measure="1" displayFolder="" count="0" hidden="1"/>
    <cacheHierarchy uniqueName="[Measures].[Soma de Valor Total]" caption="Soma de Valor Total" measure="1" displayFolder="" measureGroup="Reserv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]" caption="Soma de Valor" measure="1" displayFolder="" measureGroup="LicaoDeCas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Acomodacoes" uniqueName="[Acomodacoes]" caption="Acomodacoes"/>
    <dimension name="Categorias" uniqueName="[Categorias]" caption="Categorias"/>
    <dimension name="Clientes" uniqueName="[Clientes]" caption="Clientes"/>
    <dimension name="LicaoDeCasa" uniqueName="[LicaoDeCasa]" caption="LicaoDeCasa"/>
    <dimension measure="1" name="Measures" uniqueName="[Measures]" caption="Measures"/>
    <dimension name="Reservas" uniqueName="[Reservas]" caption="Reservas"/>
    <dimension name="Tipos" uniqueName="[Tipos]" caption="Tipos"/>
  </dimensions>
  <measureGroups count="6">
    <measureGroup name="Acomodacoes" caption="Acomodacoes"/>
    <measureGroup name="Categorias" caption="Categorias"/>
    <measureGroup name="Clientes" caption="Clientes"/>
    <measureGroup name="LicaoDeCasa" caption="LicaoDeCasa"/>
    <measureGroup name="Reservas" caption="Reservas"/>
    <measureGroup name="Tipos" caption="Tipos"/>
  </measureGroups>
  <maps count="10">
    <map measureGroup="0" dimension="0"/>
    <map measureGroup="1" dimension="1"/>
    <map measureGroup="2" dimension="2"/>
    <map measureGroup="3" dimension="1"/>
    <map measureGroup="3" dimension="3"/>
    <map measureGroup="3" dimension="6"/>
    <map measureGroup="4" dimension="0"/>
    <map measureGroup="4" dimension="2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A155E-DA3E-41D4-801B-1CAF3754D19E}" name="Tabela dinâmica1" cacheId="8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31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2"/>
    <field x="1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1"/>
    </i>
    <i r="1">
      <x v="3"/>
    </i>
    <i r="1">
      <x v="7"/>
    </i>
    <i r="1">
      <x v="4"/>
    </i>
    <i r="1">
      <x v="8"/>
    </i>
    <i>
      <x v="2"/>
    </i>
    <i r="1">
      <x v="9"/>
    </i>
    <i r="1">
      <x v="6"/>
    </i>
    <i r="1">
      <x v="1"/>
    </i>
    <i r="1">
      <x v="7"/>
    </i>
    <i r="1">
      <x v="8"/>
    </i>
    <i r="1">
      <x v="5"/>
    </i>
    <i>
      <x v="3"/>
    </i>
    <i r="1">
      <x v="9"/>
    </i>
    <i r="1">
      <x/>
    </i>
    <i r="1">
      <x v="2"/>
    </i>
    <i r="1">
      <x v="3"/>
    </i>
    <i r="1">
      <x v="4"/>
    </i>
    <i t="grand">
      <x/>
    </i>
  </rowItems>
  <colItems count="1">
    <i/>
  </colItems>
  <dataFields count="1">
    <dataField name="Soma de Valor Total" fld="0" baseField="0" baseItem="0" numFmtId="44"/>
  </dataField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Reservas]"/>
        <x15:activeTabTopLevelEntity name="[Acomodaco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DF82C0-5AFF-4102-8315-494AF561EA03}" name="Tabela dinâmica1" cacheId="1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H18" firstHeaderRow="1" firstDataRow="3" firstDataCol="1"/>
  <pivotFields count="5">
    <pivotField dataField="1" subtotalTop="0" showAll="0" defaultSubtotal="0"/>
    <pivotField axis="axisRow" allDrilled="1" subtotalTop="0" showAll="0" defaultSubtotal="0" defaultAttributeDrillState="1">
      <items count="9">
        <item x="4"/>
        <item x="0"/>
        <item x="1"/>
        <item x="2"/>
        <item x="3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Col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2">
    <field x="2"/>
    <field x="1"/>
  </rowFields>
  <rowItems count="13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5"/>
    </i>
    <i r="1">
      <x v="6"/>
    </i>
    <i r="1">
      <x v="7"/>
    </i>
    <i r="1">
      <x v="8"/>
    </i>
    <i t="grand">
      <x/>
    </i>
  </rowItems>
  <colFields count="2">
    <field x="4"/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a de Valor" fld="0" baseField="0" baseItem="0" numFmtId="44"/>
  </dataField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3"/>
  </rowHierarchiesUsage>
  <colHierarchiesUsage count="2">
    <colHierarchyUsage hierarchyUsage="10"/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caoDeCasa]"/>
        <x15:activeTabTopLevelEntity name="[Tipos]"/>
        <x15:activeTabTopLevelEntity name="[Categori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94790-C65E-4E9B-A28E-81F2239D77E0}" name="Acomodacoes" displayName="Acomodacoes" ref="A3:B7" totalsRowShown="0" headerRowDxfId="26">
  <autoFilter ref="A3:B7" xr:uid="{FA92A4C1-01D4-47DF-B04A-329D8E6D6BD0}"/>
  <tableColumns count="2">
    <tableColumn id="1" xr3:uid="{F0F420F2-6C43-498D-A462-121F98CBDD24}" name="AcomodacaoID" dataDxfId="25"/>
    <tableColumn id="2" xr3:uid="{8CBC7C8D-97C7-4AC7-965B-95015F6E81E4}" name="Acomodações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50AC66-84E8-4AD8-8A9E-2695A56FD6AC}" name="Clientes" displayName="Clientes" ref="A2:D32" totalsRowShown="0" tableBorderDxfId="23">
  <autoFilter ref="A2:D32" xr:uid="{9EAB6A03-2120-4857-816E-756E456CF291}"/>
  <tableColumns count="4">
    <tableColumn id="1" xr3:uid="{A0CE87F1-17AA-42B6-9900-14E14715A00E}" name="ClienteID" dataDxfId="22"/>
    <tableColumn id="2" xr3:uid="{4E8D2A1C-F7AB-41C3-848B-3EC8C2AD0386}" name="Nome do Pax" dataDxfId="21"/>
    <tableColumn id="3" xr3:uid="{43F02C94-C60B-4C8E-87DF-80E77C49D292}" name="Estado" dataDxfId="20"/>
    <tableColumn id="4" xr3:uid="{FC445924-DAA5-494B-8277-6ECC5B5968C7}" name="Cidade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EB73A-FAF7-4268-A7E9-F8029634FA28}" name="Reservas" displayName="Reservas" ref="A2:F32" totalsRowShown="0" headerRowDxfId="18" tableBorderDxfId="17">
  <autoFilter ref="A2:F32" xr:uid="{20D885C6-B5B0-4B2C-AFE7-D23ABFFF78F1}"/>
  <tableColumns count="6">
    <tableColumn id="1" xr3:uid="{8A97607C-BCB6-4091-9EFB-AC5C4550BF72}" name="ReservaID" dataDxfId="16"/>
    <tableColumn id="2" xr3:uid="{3035BC9C-A07F-48F5-A51E-6F32831F109C}" name="Reserva" dataDxfId="15"/>
    <tableColumn id="3" xr3:uid="{07A2A774-E48C-45FC-B437-E91F3B17EA46}" name="ClienteID" dataDxfId="14"/>
    <tableColumn id="4" xr3:uid="{4CB35E9C-CACE-4E45-8F83-F4909EEF97C6}" name="AcomodacaoID" dataDxfId="13"/>
    <tableColumn id="5" xr3:uid="{5A05CFCA-64AB-4047-B2DE-3B068E09C8C5}" name="Valor Total" dataDxfId="12"/>
    <tableColumn id="6" xr3:uid="{BC0A421C-61C3-45A2-B4FD-EDED4F6BD1F5}" name="Status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A26DA-6D0F-4AFA-B8EB-E62590EE3C5E}" name="Categorias" displayName="Categorias" ref="A3:B13" totalsRowShown="0" headerRowDxfId="10">
  <autoFilter ref="A3:B13" xr:uid="{07FF6A04-75DE-4EE8-903E-164F67C98E7B}"/>
  <tableColumns count="2">
    <tableColumn id="1" xr3:uid="{9B59AEA8-34FE-4CE6-A61F-BAB5AA09E057}" name="CategoriaID" dataDxfId="9"/>
    <tableColumn id="2" xr3:uid="{8086AF81-A2A5-4B91-911F-4D40BEF1702A}" name="Categorias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1ABBE5-304D-4224-8065-2F0D4916F54C}" name="Tipos" displayName="Tipos" ref="D3:E5" totalsRowShown="0" headerRowDxfId="7">
  <autoFilter ref="D3:E5" xr:uid="{3E5F88BC-430F-4AC9-B0F6-194A24F2DC3C}"/>
  <tableColumns count="2">
    <tableColumn id="1" xr3:uid="{9C0C0802-5AA6-4219-9E24-AA08876AC5F9}" name="TipoID" dataDxfId="6"/>
    <tableColumn id="2" xr3:uid="{8575B47C-AADD-4852-B90C-0C012FD1D263}" name="Tipo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DF49FF-8B4C-41D0-BF4E-4CA849C6B58D}" name="LicaoDeCasa" displayName="LicaoDeCasa" ref="A2:D62" totalsRowShown="0" headerRowDxfId="5" tableBorderDxfId="4">
  <autoFilter ref="A2:D62" xr:uid="{0E0DB1DA-418D-42E8-926E-DD9BDAA5B5E8}"/>
  <tableColumns count="4">
    <tableColumn id="1" xr3:uid="{1CDC4A87-E3E7-4700-9464-78C60FAD2732}" name="Data" dataDxfId="3"/>
    <tableColumn id="2" xr3:uid="{8BD8B24F-3B05-4C1F-B781-E0F2B11A22D6}" name="CategoriaID" dataDxfId="2"/>
    <tableColumn id="3" xr3:uid="{9655456B-A809-4048-96F3-600FB1580911}" name="TipoID" dataDxfId="1"/>
    <tableColumn id="4" xr3:uid="{847559BE-4611-4ACD-8FFF-30453F1B0FA2}" name="Valor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9B76-42BF-4AC2-B9FC-9D1FB5630630}">
  <sheetPr codeName="Planilha1">
    <tabColor theme="9" tint="0.79998168889431442"/>
  </sheetPr>
  <dimension ref="A1:C38"/>
  <sheetViews>
    <sheetView zoomScale="130" zoomScaleNormal="130" workbookViewId="0">
      <selection activeCell="B4" sqref="B4"/>
    </sheetView>
  </sheetViews>
  <sheetFormatPr defaultRowHeight="15" x14ac:dyDescent="0.25"/>
  <cols>
    <col min="1" max="1" width="16.5703125" bestFit="1" customWidth="1"/>
    <col min="2" max="2" width="21.7109375" bestFit="1" customWidth="1"/>
    <col min="3" max="3" width="34.5703125" style="2" customWidth="1"/>
  </cols>
  <sheetData>
    <row r="1" spans="1:3" ht="36" customHeight="1" x14ac:dyDescent="0.25">
      <c r="A1" s="45" t="s">
        <v>0</v>
      </c>
      <c r="B1" s="45"/>
      <c r="C1" s="45"/>
    </row>
    <row r="2" spans="1:3" ht="15" customHeight="1" x14ac:dyDescent="0.25">
      <c r="C2"/>
    </row>
    <row r="3" spans="1:3" x14ac:dyDescent="0.25">
      <c r="A3" s="1" t="s">
        <v>1</v>
      </c>
      <c r="B3" s="1" t="s">
        <v>2</v>
      </c>
    </row>
    <row r="4" spans="1:3" x14ac:dyDescent="0.25">
      <c r="A4" s="3">
        <v>1</v>
      </c>
      <c r="B4" s="4" t="s">
        <v>3</v>
      </c>
    </row>
    <row r="5" spans="1:3" x14ac:dyDescent="0.25">
      <c r="A5" s="3">
        <v>2</v>
      </c>
      <c r="B5" s="4" t="s">
        <v>4</v>
      </c>
    </row>
    <row r="6" spans="1:3" x14ac:dyDescent="0.25">
      <c r="A6" s="3">
        <v>3</v>
      </c>
      <c r="B6" s="4" t="s">
        <v>5</v>
      </c>
    </row>
    <row r="7" spans="1:3" x14ac:dyDescent="0.25">
      <c r="A7" s="3">
        <v>4</v>
      </c>
      <c r="B7" s="4" t="s">
        <v>6</v>
      </c>
    </row>
    <row r="8" spans="1:3" x14ac:dyDescent="0.25">
      <c r="A8" s="5"/>
      <c r="B8" s="4"/>
    </row>
    <row r="9" spans="1:3" x14ac:dyDescent="0.25">
      <c r="B9" s="4"/>
    </row>
    <row r="10" spans="1:3" x14ac:dyDescent="0.25">
      <c r="B10" s="6"/>
    </row>
    <row r="11" spans="1:3" x14ac:dyDescent="0.25">
      <c r="B11" s="6"/>
      <c r="C11"/>
    </row>
    <row r="12" spans="1:3" x14ac:dyDescent="0.25">
      <c r="B12" s="6"/>
      <c r="C12"/>
    </row>
    <row r="13" spans="1:3" x14ac:dyDescent="0.25">
      <c r="B13" s="6"/>
      <c r="C13"/>
    </row>
    <row r="14" spans="1:3" x14ac:dyDescent="0.25">
      <c r="B14" s="6"/>
      <c r="C14"/>
    </row>
    <row r="15" spans="1:3" x14ac:dyDescent="0.25">
      <c r="B15" s="6"/>
      <c r="C15"/>
    </row>
    <row r="16" spans="1:3" x14ac:dyDescent="0.25">
      <c r="B16" s="6"/>
      <c r="C16"/>
    </row>
    <row r="17" spans="2:3" x14ac:dyDescent="0.25">
      <c r="B17" s="6"/>
      <c r="C17"/>
    </row>
    <row r="18" spans="2:3" x14ac:dyDescent="0.25">
      <c r="B18" s="6"/>
      <c r="C18"/>
    </row>
    <row r="19" spans="2:3" x14ac:dyDescent="0.25">
      <c r="B19" s="6"/>
      <c r="C19"/>
    </row>
    <row r="20" spans="2:3" x14ac:dyDescent="0.25">
      <c r="B20" s="6"/>
      <c r="C20"/>
    </row>
    <row r="21" spans="2:3" x14ac:dyDescent="0.25">
      <c r="B21" s="6"/>
      <c r="C21"/>
    </row>
    <row r="22" spans="2:3" x14ac:dyDescent="0.25">
      <c r="B22" s="6"/>
      <c r="C22"/>
    </row>
    <row r="23" spans="2:3" x14ac:dyDescent="0.25">
      <c r="B23" s="6"/>
      <c r="C23"/>
    </row>
    <row r="24" spans="2:3" x14ac:dyDescent="0.25">
      <c r="B24" s="6"/>
      <c r="C24"/>
    </row>
    <row r="25" spans="2:3" x14ac:dyDescent="0.25">
      <c r="B25" s="6"/>
      <c r="C25"/>
    </row>
    <row r="26" spans="2:3" x14ac:dyDescent="0.25">
      <c r="B26" s="6"/>
      <c r="C26"/>
    </row>
    <row r="27" spans="2:3" x14ac:dyDescent="0.25">
      <c r="B27" s="6"/>
      <c r="C27"/>
    </row>
    <row r="28" spans="2:3" x14ac:dyDescent="0.25">
      <c r="B28" s="6"/>
      <c r="C28"/>
    </row>
    <row r="29" spans="2:3" x14ac:dyDescent="0.25">
      <c r="B29" s="6"/>
      <c r="C29"/>
    </row>
    <row r="30" spans="2:3" x14ac:dyDescent="0.25">
      <c r="B30" s="6"/>
      <c r="C30"/>
    </row>
    <row r="31" spans="2:3" x14ac:dyDescent="0.25">
      <c r="B31" s="6"/>
      <c r="C31"/>
    </row>
    <row r="32" spans="2:3" x14ac:dyDescent="0.25">
      <c r="B32" s="6"/>
      <c r="C32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9157-F209-4408-8D13-584E20B95D2D}">
  <sheetPr codeName="Planilha2">
    <tabColor theme="9" tint="0.59999389629810485"/>
  </sheetPr>
  <dimension ref="A1:E38"/>
  <sheetViews>
    <sheetView zoomScale="130" zoomScaleNormal="130" workbookViewId="0">
      <selection activeCell="A5" sqref="A5"/>
    </sheetView>
  </sheetViews>
  <sheetFormatPr defaultRowHeight="15" x14ac:dyDescent="0.25"/>
  <cols>
    <col min="1" max="1" width="13.85546875" bestFit="1" customWidth="1"/>
    <col min="2" max="2" width="20.7109375" customWidth="1"/>
    <col min="3" max="3" width="11.42578125" style="2" bestFit="1" customWidth="1"/>
    <col min="4" max="4" width="19.5703125" style="22" customWidth="1"/>
  </cols>
  <sheetData>
    <row r="1" spans="1:5" ht="36" customHeight="1" x14ac:dyDescent="0.25">
      <c r="A1" s="45" t="s">
        <v>0</v>
      </c>
      <c r="B1" s="45"/>
      <c r="C1" s="45"/>
      <c r="D1" s="45"/>
    </row>
    <row r="2" spans="1:5" ht="15" customHeight="1" x14ac:dyDescent="0.25">
      <c r="A2" s="8" t="s">
        <v>7</v>
      </c>
      <c r="B2" s="9" t="s">
        <v>8</v>
      </c>
      <c r="C2" s="8" t="s">
        <v>9</v>
      </c>
      <c r="D2" s="10" t="s">
        <v>10</v>
      </c>
    </row>
    <row r="3" spans="1:5" x14ac:dyDescent="0.25">
      <c r="A3" s="11">
        <v>1001</v>
      </c>
      <c r="B3" s="12" t="s">
        <v>11</v>
      </c>
      <c r="C3" s="13" t="s">
        <v>12</v>
      </c>
      <c r="D3" s="14" t="s">
        <v>13</v>
      </c>
    </row>
    <row r="4" spans="1:5" x14ac:dyDescent="0.25">
      <c r="A4" s="15">
        <v>1002</v>
      </c>
      <c r="B4" s="16" t="s">
        <v>14</v>
      </c>
      <c r="C4" s="17" t="s">
        <v>12</v>
      </c>
      <c r="D4" s="18" t="s">
        <v>15</v>
      </c>
    </row>
    <row r="5" spans="1:5" x14ac:dyDescent="0.25">
      <c r="A5" s="11">
        <v>1003</v>
      </c>
      <c r="B5" s="12" t="s">
        <v>16</v>
      </c>
      <c r="C5" s="13" t="s">
        <v>12</v>
      </c>
      <c r="D5" s="19" t="s">
        <v>17</v>
      </c>
    </row>
    <row r="6" spans="1:5" x14ac:dyDescent="0.25">
      <c r="A6" s="15">
        <v>1004</v>
      </c>
      <c r="B6" s="16" t="s">
        <v>18</v>
      </c>
      <c r="C6" s="17" t="s">
        <v>19</v>
      </c>
      <c r="D6" s="20" t="s">
        <v>20</v>
      </c>
    </row>
    <row r="7" spans="1:5" x14ac:dyDescent="0.25">
      <c r="A7" s="11">
        <v>1005</v>
      </c>
      <c r="B7" s="12" t="s">
        <v>21</v>
      </c>
      <c r="C7" s="13" t="s">
        <v>22</v>
      </c>
      <c r="D7" s="14" t="s">
        <v>23</v>
      </c>
      <c r="E7" s="21"/>
    </row>
    <row r="8" spans="1:5" x14ac:dyDescent="0.25">
      <c r="A8" s="15">
        <v>1006</v>
      </c>
      <c r="B8" s="16" t="s">
        <v>24</v>
      </c>
      <c r="C8" s="17" t="s">
        <v>25</v>
      </c>
      <c r="D8" s="20" t="s">
        <v>26</v>
      </c>
    </row>
    <row r="9" spans="1:5" x14ac:dyDescent="0.25">
      <c r="A9" s="11">
        <v>1007</v>
      </c>
      <c r="B9" s="12" t="s">
        <v>27</v>
      </c>
      <c r="C9" s="13" t="s">
        <v>25</v>
      </c>
      <c r="D9" s="14" t="s">
        <v>28</v>
      </c>
    </row>
    <row r="10" spans="1:5" x14ac:dyDescent="0.25">
      <c r="A10" s="15">
        <v>1008</v>
      </c>
      <c r="B10" s="16" t="s">
        <v>29</v>
      </c>
      <c r="C10" s="17" t="s">
        <v>22</v>
      </c>
      <c r="D10" s="20" t="s">
        <v>30</v>
      </c>
    </row>
    <row r="11" spans="1:5" x14ac:dyDescent="0.25">
      <c r="A11" s="11">
        <v>1009</v>
      </c>
      <c r="B11" s="12" t="s">
        <v>31</v>
      </c>
      <c r="C11" s="13" t="s">
        <v>19</v>
      </c>
      <c r="D11" s="14" t="s">
        <v>32</v>
      </c>
    </row>
    <row r="12" spans="1:5" x14ac:dyDescent="0.25">
      <c r="A12" s="15">
        <v>1010</v>
      </c>
      <c r="B12" s="16" t="s">
        <v>33</v>
      </c>
      <c r="C12" s="17" t="s">
        <v>12</v>
      </c>
      <c r="D12" s="20" t="s">
        <v>34</v>
      </c>
    </row>
    <row r="13" spans="1:5" x14ac:dyDescent="0.25">
      <c r="A13" s="11">
        <v>1011</v>
      </c>
      <c r="B13" s="12" t="s">
        <v>35</v>
      </c>
      <c r="C13" s="13" t="s">
        <v>12</v>
      </c>
      <c r="D13" s="14" t="s">
        <v>34</v>
      </c>
    </row>
    <row r="14" spans="1:5" x14ac:dyDescent="0.25">
      <c r="A14" s="15">
        <v>1012</v>
      </c>
      <c r="B14" s="16" t="s">
        <v>36</v>
      </c>
      <c r="C14" s="17" t="s">
        <v>19</v>
      </c>
      <c r="D14" s="20" t="s">
        <v>32</v>
      </c>
    </row>
    <row r="15" spans="1:5" x14ac:dyDescent="0.25">
      <c r="A15" s="11">
        <v>1013</v>
      </c>
      <c r="B15" s="12" t="s">
        <v>37</v>
      </c>
      <c r="C15" s="13" t="s">
        <v>22</v>
      </c>
      <c r="D15" s="14" t="s">
        <v>30</v>
      </c>
    </row>
    <row r="16" spans="1:5" x14ac:dyDescent="0.25">
      <c r="A16" s="15">
        <v>1014</v>
      </c>
      <c r="B16" s="16" t="s">
        <v>38</v>
      </c>
      <c r="C16" s="17" t="s">
        <v>25</v>
      </c>
      <c r="D16" s="20" t="s">
        <v>28</v>
      </c>
    </row>
    <row r="17" spans="1:4" x14ac:dyDescent="0.25">
      <c r="A17" s="11">
        <v>1015</v>
      </c>
      <c r="B17" s="12" t="s">
        <v>39</v>
      </c>
      <c r="C17" s="13" t="s">
        <v>25</v>
      </c>
      <c r="D17" s="14" t="s">
        <v>26</v>
      </c>
    </row>
    <row r="18" spans="1:4" x14ac:dyDescent="0.25">
      <c r="A18" s="15">
        <v>1016</v>
      </c>
      <c r="B18" s="16" t="s">
        <v>40</v>
      </c>
      <c r="C18" s="17" t="s">
        <v>22</v>
      </c>
      <c r="D18" s="20" t="s">
        <v>23</v>
      </c>
    </row>
    <row r="19" spans="1:4" x14ac:dyDescent="0.25">
      <c r="A19" s="11">
        <v>1017</v>
      </c>
      <c r="B19" s="12" t="s">
        <v>41</v>
      </c>
      <c r="C19" s="13" t="s">
        <v>19</v>
      </c>
      <c r="D19" s="14" t="s">
        <v>20</v>
      </c>
    </row>
    <row r="20" spans="1:4" x14ac:dyDescent="0.25">
      <c r="A20" s="15">
        <v>1018</v>
      </c>
      <c r="B20" s="16" t="s">
        <v>42</v>
      </c>
      <c r="C20" s="17" t="s">
        <v>12</v>
      </c>
      <c r="D20" s="20" t="s">
        <v>17</v>
      </c>
    </row>
    <row r="21" spans="1:4" x14ac:dyDescent="0.25">
      <c r="A21" s="11">
        <v>1019</v>
      </c>
      <c r="B21" s="12" t="s">
        <v>43</v>
      </c>
      <c r="C21" s="13" t="s">
        <v>12</v>
      </c>
      <c r="D21" s="14" t="s">
        <v>15</v>
      </c>
    </row>
    <row r="22" spans="1:4" x14ac:dyDescent="0.25">
      <c r="A22" s="15">
        <v>1020</v>
      </c>
      <c r="B22" s="16" t="s">
        <v>44</v>
      </c>
      <c r="C22" s="17" t="s">
        <v>12</v>
      </c>
      <c r="D22" s="20" t="s">
        <v>13</v>
      </c>
    </row>
    <row r="23" spans="1:4" x14ac:dyDescent="0.25">
      <c r="A23" s="11">
        <v>1021</v>
      </c>
      <c r="B23" s="12" t="s">
        <v>45</v>
      </c>
      <c r="C23" s="13" t="s">
        <v>19</v>
      </c>
      <c r="D23" s="14" t="s">
        <v>32</v>
      </c>
    </row>
    <row r="24" spans="1:4" x14ac:dyDescent="0.25">
      <c r="A24" s="15">
        <v>1022</v>
      </c>
      <c r="B24" s="16" t="s">
        <v>46</v>
      </c>
      <c r="C24" s="17" t="s">
        <v>22</v>
      </c>
      <c r="D24" s="20" t="s">
        <v>30</v>
      </c>
    </row>
    <row r="25" spans="1:4" x14ac:dyDescent="0.25">
      <c r="A25" s="11">
        <v>1023</v>
      </c>
      <c r="B25" s="12" t="s">
        <v>47</v>
      </c>
      <c r="C25" s="13" t="s">
        <v>25</v>
      </c>
      <c r="D25" s="14" t="s">
        <v>28</v>
      </c>
    </row>
    <row r="26" spans="1:4" x14ac:dyDescent="0.25">
      <c r="A26" s="15">
        <v>1024</v>
      </c>
      <c r="B26" s="16" t="s">
        <v>48</v>
      </c>
      <c r="C26" s="17" t="s">
        <v>25</v>
      </c>
      <c r="D26" s="20" t="s">
        <v>26</v>
      </c>
    </row>
    <row r="27" spans="1:4" x14ac:dyDescent="0.25">
      <c r="A27" s="11">
        <v>1025</v>
      </c>
      <c r="B27" s="12" t="s">
        <v>49</v>
      </c>
      <c r="C27" s="13" t="s">
        <v>22</v>
      </c>
      <c r="D27" s="14" t="s">
        <v>23</v>
      </c>
    </row>
    <row r="28" spans="1:4" x14ac:dyDescent="0.25">
      <c r="A28" s="15">
        <v>1026</v>
      </c>
      <c r="B28" s="16" t="s">
        <v>50</v>
      </c>
      <c r="C28" s="17" t="s">
        <v>25</v>
      </c>
      <c r="D28" s="20" t="s">
        <v>28</v>
      </c>
    </row>
    <row r="29" spans="1:4" x14ac:dyDescent="0.25">
      <c r="A29" s="11">
        <v>1027</v>
      </c>
      <c r="B29" s="12" t="s">
        <v>51</v>
      </c>
      <c r="C29" s="13" t="s">
        <v>22</v>
      </c>
      <c r="D29" s="14" t="s">
        <v>30</v>
      </c>
    </row>
    <row r="30" spans="1:4" x14ac:dyDescent="0.25">
      <c r="A30" s="15">
        <v>1028</v>
      </c>
      <c r="B30" s="16" t="s">
        <v>52</v>
      </c>
      <c r="C30" s="17" t="s">
        <v>19</v>
      </c>
      <c r="D30" s="20" t="s">
        <v>32</v>
      </c>
    </row>
    <row r="31" spans="1:4" x14ac:dyDescent="0.25">
      <c r="A31" s="11">
        <v>1029</v>
      </c>
      <c r="B31" s="12" t="s">
        <v>53</v>
      </c>
      <c r="C31" s="13" t="s">
        <v>12</v>
      </c>
      <c r="D31" s="14" t="s">
        <v>34</v>
      </c>
    </row>
    <row r="32" spans="1:4" x14ac:dyDescent="0.25">
      <c r="A32" s="15">
        <v>1030</v>
      </c>
      <c r="B32" s="16" t="s">
        <v>54</v>
      </c>
      <c r="C32" s="17" t="s">
        <v>25</v>
      </c>
      <c r="D32" s="20" t="s">
        <v>26</v>
      </c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759B-2A89-4F32-92FB-BED118F1BC3F}">
  <sheetPr codeName="Planilha3">
    <tabColor theme="9" tint="0.39997558519241921"/>
  </sheetPr>
  <dimension ref="A1:G38"/>
  <sheetViews>
    <sheetView zoomScale="130" zoomScaleNormal="130" workbookViewId="0">
      <selection activeCell="D3" sqref="D3"/>
    </sheetView>
  </sheetViews>
  <sheetFormatPr defaultRowHeight="15" x14ac:dyDescent="0.25"/>
  <cols>
    <col min="1" max="1" width="14.42578125" bestFit="1" customWidth="1"/>
    <col min="2" max="2" width="12.42578125" customWidth="1"/>
    <col min="3" max="3" width="11.5703125" bestFit="1" customWidth="1"/>
    <col min="4" max="4" width="16.5703125" style="2" bestFit="1" customWidth="1"/>
    <col min="5" max="5" width="15.140625" style="2" bestFit="1" customWidth="1"/>
    <col min="6" max="6" width="11" bestFit="1" customWidth="1"/>
  </cols>
  <sheetData>
    <row r="1" spans="1:7" ht="36" customHeight="1" x14ac:dyDescent="0.25">
      <c r="A1" s="45" t="s">
        <v>0</v>
      </c>
      <c r="B1" s="45"/>
      <c r="C1" s="45"/>
      <c r="D1" s="45"/>
      <c r="E1" s="45"/>
      <c r="F1" s="45"/>
    </row>
    <row r="2" spans="1:7" ht="15" customHeight="1" x14ac:dyDescent="0.25">
      <c r="A2" s="8" t="s">
        <v>55</v>
      </c>
      <c r="B2" s="9" t="s">
        <v>56</v>
      </c>
      <c r="C2" s="9" t="s">
        <v>7</v>
      </c>
      <c r="D2" s="9" t="s">
        <v>1</v>
      </c>
      <c r="E2" s="8" t="s">
        <v>57</v>
      </c>
      <c r="F2" s="8" t="s">
        <v>58</v>
      </c>
    </row>
    <row r="3" spans="1:7" x14ac:dyDescent="0.25">
      <c r="A3" s="11">
        <v>9876</v>
      </c>
      <c r="B3" s="23">
        <v>43252</v>
      </c>
      <c r="C3" s="24">
        <v>1001</v>
      </c>
      <c r="D3" s="25">
        <v>1</v>
      </c>
      <c r="E3" s="26">
        <v>1499.96</v>
      </c>
      <c r="F3" s="26" t="s">
        <v>59</v>
      </c>
    </row>
    <row r="4" spans="1:7" x14ac:dyDescent="0.25">
      <c r="A4" s="15">
        <v>9877</v>
      </c>
      <c r="B4" s="27">
        <v>43253</v>
      </c>
      <c r="C4" s="28">
        <v>1002</v>
      </c>
      <c r="D4" s="29">
        <v>2</v>
      </c>
      <c r="E4" s="30">
        <v>1750</v>
      </c>
      <c r="F4" s="30" t="s">
        <v>60</v>
      </c>
    </row>
    <row r="5" spans="1:7" x14ac:dyDescent="0.25">
      <c r="A5" s="11">
        <v>9878</v>
      </c>
      <c r="B5" s="23">
        <v>43254</v>
      </c>
      <c r="C5" s="24">
        <v>1003</v>
      </c>
      <c r="D5" s="25">
        <v>3</v>
      </c>
      <c r="E5" s="26">
        <v>2499.98</v>
      </c>
      <c r="F5" s="26" t="s">
        <v>59</v>
      </c>
    </row>
    <row r="6" spans="1:7" x14ac:dyDescent="0.25">
      <c r="A6" s="15">
        <v>9879</v>
      </c>
      <c r="B6" s="27">
        <v>43255</v>
      </c>
      <c r="C6" s="28">
        <v>1004</v>
      </c>
      <c r="D6" s="29">
        <v>4</v>
      </c>
      <c r="E6" s="30">
        <v>2200</v>
      </c>
      <c r="F6" s="30" t="s">
        <v>59</v>
      </c>
    </row>
    <row r="7" spans="1:7" x14ac:dyDescent="0.25">
      <c r="A7" s="11">
        <v>9880</v>
      </c>
      <c r="B7" s="23">
        <v>43256</v>
      </c>
      <c r="C7" s="24">
        <v>1005</v>
      </c>
      <c r="D7" s="25">
        <v>4</v>
      </c>
      <c r="E7" s="26">
        <v>2350</v>
      </c>
      <c r="F7" s="26" t="s">
        <v>60</v>
      </c>
      <c r="G7" s="21"/>
    </row>
    <row r="8" spans="1:7" x14ac:dyDescent="0.25">
      <c r="A8" s="15">
        <v>9881</v>
      </c>
      <c r="B8" s="27">
        <v>43257</v>
      </c>
      <c r="C8" s="28">
        <v>1006</v>
      </c>
      <c r="D8" s="29">
        <v>3</v>
      </c>
      <c r="E8" s="30">
        <v>2300</v>
      </c>
      <c r="F8" s="30" t="s">
        <v>59</v>
      </c>
    </row>
    <row r="9" spans="1:7" x14ac:dyDescent="0.25">
      <c r="A9" s="11">
        <v>9882</v>
      </c>
      <c r="B9" s="23">
        <v>43258</v>
      </c>
      <c r="C9" s="24">
        <v>1007</v>
      </c>
      <c r="D9" s="25">
        <v>2</v>
      </c>
      <c r="E9" s="26">
        <v>1800</v>
      </c>
      <c r="F9" s="26" t="s">
        <v>59</v>
      </c>
    </row>
    <row r="10" spans="1:7" x14ac:dyDescent="0.25">
      <c r="A10" s="15">
        <v>9883</v>
      </c>
      <c r="B10" s="27">
        <v>43259</v>
      </c>
      <c r="C10" s="28">
        <v>1008</v>
      </c>
      <c r="D10" s="29">
        <v>1</v>
      </c>
      <c r="E10" s="30">
        <v>900</v>
      </c>
      <c r="F10" s="30" t="s">
        <v>59</v>
      </c>
    </row>
    <row r="11" spans="1:7" x14ac:dyDescent="0.25">
      <c r="A11" s="11">
        <v>9884</v>
      </c>
      <c r="B11" s="23">
        <v>43260</v>
      </c>
      <c r="C11" s="24">
        <v>1009</v>
      </c>
      <c r="D11" s="25">
        <v>3</v>
      </c>
      <c r="E11" s="26">
        <v>2799.96</v>
      </c>
      <c r="F11" s="26" t="s">
        <v>60</v>
      </c>
    </row>
    <row r="12" spans="1:7" x14ac:dyDescent="0.25">
      <c r="A12" s="15">
        <v>9885</v>
      </c>
      <c r="B12" s="27">
        <v>43261</v>
      </c>
      <c r="C12" s="28">
        <v>1010</v>
      </c>
      <c r="D12" s="29">
        <v>3</v>
      </c>
      <c r="E12" s="30">
        <v>1499.94</v>
      </c>
      <c r="F12" s="30" t="s">
        <v>60</v>
      </c>
    </row>
    <row r="13" spans="1:7" x14ac:dyDescent="0.25">
      <c r="A13" s="11">
        <v>9886</v>
      </c>
      <c r="B13" s="23">
        <v>43262</v>
      </c>
      <c r="C13" s="24">
        <v>1011</v>
      </c>
      <c r="D13" s="25">
        <v>2</v>
      </c>
      <c r="E13" s="26">
        <v>1750</v>
      </c>
      <c r="F13" s="26" t="s">
        <v>59</v>
      </c>
    </row>
    <row r="14" spans="1:7" x14ac:dyDescent="0.25">
      <c r="A14" s="15">
        <v>9887</v>
      </c>
      <c r="B14" s="27">
        <v>43263</v>
      </c>
      <c r="C14" s="28">
        <v>1012</v>
      </c>
      <c r="D14" s="29">
        <v>2</v>
      </c>
      <c r="E14" s="30">
        <v>2350</v>
      </c>
      <c r="F14" s="30" t="s">
        <v>60</v>
      </c>
    </row>
    <row r="15" spans="1:7" x14ac:dyDescent="0.25">
      <c r="A15" s="11">
        <v>9888</v>
      </c>
      <c r="B15" s="23">
        <v>43264</v>
      </c>
      <c r="C15" s="24">
        <v>1013</v>
      </c>
      <c r="D15" s="25">
        <v>1</v>
      </c>
      <c r="E15" s="26">
        <v>2199.96</v>
      </c>
      <c r="F15" s="26" t="s">
        <v>59</v>
      </c>
    </row>
    <row r="16" spans="1:7" x14ac:dyDescent="0.25">
      <c r="A16" s="15">
        <v>9889</v>
      </c>
      <c r="B16" s="27">
        <v>43265</v>
      </c>
      <c r="C16" s="28">
        <v>1014</v>
      </c>
      <c r="D16" s="29">
        <v>1</v>
      </c>
      <c r="E16" s="30">
        <v>2350</v>
      </c>
      <c r="F16" s="30" t="s">
        <v>59</v>
      </c>
    </row>
    <row r="17" spans="1:6" x14ac:dyDescent="0.25">
      <c r="A17" s="11">
        <v>9890</v>
      </c>
      <c r="B17" s="23">
        <v>43266</v>
      </c>
      <c r="C17" s="24">
        <v>1015</v>
      </c>
      <c r="D17" s="25">
        <v>4</v>
      </c>
      <c r="E17" s="26">
        <v>2299.92</v>
      </c>
      <c r="F17" s="26" t="s">
        <v>60</v>
      </c>
    </row>
    <row r="18" spans="1:6" x14ac:dyDescent="0.25">
      <c r="A18" s="15">
        <v>9891</v>
      </c>
      <c r="B18" s="27">
        <v>43267</v>
      </c>
      <c r="C18" s="28">
        <v>1016</v>
      </c>
      <c r="D18" s="29">
        <v>4</v>
      </c>
      <c r="E18" s="30">
        <v>1800</v>
      </c>
      <c r="F18" s="30" t="s">
        <v>59</v>
      </c>
    </row>
    <row r="19" spans="1:6" x14ac:dyDescent="0.25">
      <c r="A19" s="11">
        <v>9892</v>
      </c>
      <c r="B19" s="23">
        <v>43268</v>
      </c>
      <c r="C19" s="24">
        <v>1017</v>
      </c>
      <c r="D19" s="25">
        <v>1</v>
      </c>
      <c r="E19" s="26">
        <v>900</v>
      </c>
      <c r="F19" s="26" t="s">
        <v>59</v>
      </c>
    </row>
    <row r="20" spans="1:6" x14ac:dyDescent="0.25">
      <c r="A20" s="15">
        <v>9893</v>
      </c>
      <c r="B20" s="27">
        <v>43269</v>
      </c>
      <c r="C20" s="28">
        <v>1018</v>
      </c>
      <c r="D20" s="29">
        <v>2</v>
      </c>
      <c r="E20" s="30">
        <v>2800</v>
      </c>
      <c r="F20" s="30" t="s">
        <v>59</v>
      </c>
    </row>
    <row r="21" spans="1:6" x14ac:dyDescent="0.25">
      <c r="A21" s="11">
        <v>9894</v>
      </c>
      <c r="B21" s="23">
        <v>43270</v>
      </c>
      <c r="C21" s="24">
        <v>1019</v>
      </c>
      <c r="D21" s="25">
        <v>3</v>
      </c>
      <c r="E21" s="26">
        <v>1500</v>
      </c>
      <c r="F21" s="26" t="s">
        <v>60</v>
      </c>
    </row>
    <row r="22" spans="1:6" x14ac:dyDescent="0.25">
      <c r="A22" s="15">
        <v>9895</v>
      </c>
      <c r="B22" s="27">
        <v>43271</v>
      </c>
      <c r="C22" s="28">
        <v>1020</v>
      </c>
      <c r="D22" s="29">
        <v>4</v>
      </c>
      <c r="E22" s="30">
        <v>1749.9999999999991</v>
      </c>
      <c r="F22" s="30" t="s">
        <v>60</v>
      </c>
    </row>
    <row r="23" spans="1:6" x14ac:dyDescent="0.25">
      <c r="A23" s="11">
        <v>9896</v>
      </c>
      <c r="B23" s="23">
        <v>43272</v>
      </c>
      <c r="C23" s="24">
        <v>1021</v>
      </c>
      <c r="D23" s="25">
        <v>4</v>
      </c>
      <c r="E23" s="26">
        <v>2499.96</v>
      </c>
      <c r="F23" s="26" t="s">
        <v>59</v>
      </c>
    </row>
    <row r="24" spans="1:6" x14ac:dyDescent="0.25">
      <c r="A24" s="15">
        <v>9897</v>
      </c>
      <c r="B24" s="27">
        <v>43273</v>
      </c>
      <c r="C24" s="28">
        <v>1022</v>
      </c>
      <c r="D24" s="29">
        <v>3</v>
      </c>
      <c r="E24" s="30">
        <v>2199.96</v>
      </c>
      <c r="F24" s="30" t="s">
        <v>60</v>
      </c>
    </row>
    <row r="25" spans="1:6" x14ac:dyDescent="0.25">
      <c r="A25" s="11">
        <v>9898</v>
      </c>
      <c r="B25" s="23">
        <v>43274</v>
      </c>
      <c r="C25" s="24">
        <v>1023</v>
      </c>
      <c r="D25" s="25">
        <v>2</v>
      </c>
      <c r="E25" s="26">
        <v>2349.9699999999998</v>
      </c>
      <c r="F25" s="26" t="s">
        <v>59</v>
      </c>
    </row>
    <row r="26" spans="1:6" x14ac:dyDescent="0.25">
      <c r="A26" s="15">
        <v>9899</v>
      </c>
      <c r="B26" s="27">
        <v>43275</v>
      </c>
      <c r="C26" s="28">
        <v>1024</v>
      </c>
      <c r="D26" s="29">
        <v>1</v>
      </c>
      <c r="E26" s="30">
        <v>2300</v>
      </c>
      <c r="F26" s="30" t="s">
        <v>59</v>
      </c>
    </row>
    <row r="27" spans="1:6" x14ac:dyDescent="0.25">
      <c r="A27" s="11">
        <v>9900</v>
      </c>
      <c r="B27" s="23">
        <v>43276</v>
      </c>
      <c r="C27" s="24">
        <v>1025</v>
      </c>
      <c r="D27" s="25">
        <v>1</v>
      </c>
      <c r="E27" s="26">
        <v>1799.98</v>
      </c>
      <c r="F27" s="26" t="s">
        <v>60</v>
      </c>
    </row>
    <row r="28" spans="1:6" x14ac:dyDescent="0.25">
      <c r="A28" s="15">
        <v>9901</v>
      </c>
      <c r="B28" s="27">
        <v>43277</v>
      </c>
      <c r="C28" s="28">
        <v>1026</v>
      </c>
      <c r="D28" s="29">
        <v>2</v>
      </c>
      <c r="E28" s="30">
        <v>900</v>
      </c>
      <c r="F28" s="30" t="s">
        <v>59</v>
      </c>
    </row>
    <row r="29" spans="1:6" x14ac:dyDescent="0.25">
      <c r="A29" s="11">
        <v>9902</v>
      </c>
      <c r="B29" s="23">
        <v>43278</v>
      </c>
      <c r="C29" s="24">
        <v>1027</v>
      </c>
      <c r="D29" s="25">
        <v>3</v>
      </c>
      <c r="E29" s="26">
        <v>2800</v>
      </c>
      <c r="F29" s="26" t="s">
        <v>59</v>
      </c>
    </row>
    <row r="30" spans="1:6" x14ac:dyDescent="0.25">
      <c r="A30" s="15">
        <v>9903</v>
      </c>
      <c r="B30" s="27">
        <v>43279</v>
      </c>
      <c r="C30" s="28">
        <v>1028</v>
      </c>
      <c r="D30" s="29">
        <v>4</v>
      </c>
      <c r="E30" s="30">
        <v>1500</v>
      </c>
      <c r="F30" s="30" t="s">
        <v>59</v>
      </c>
    </row>
    <row r="31" spans="1:6" x14ac:dyDescent="0.25">
      <c r="A31" s="11">
        <v>9904</v>
      </c>
      <c r="B31" s="23">
        <v>43280</v>
      </c>
      <c r="C31" s="24">
        <v>1029</v>
      </c>
      <c r="D31" s="25">
        <v>4</v>
      </c>
      <c r="E31" s="26">
        <v>1750</v>
      </c>
      <c r="F31" s="26" t="s">
        <v>60</v>
      </c>
    </row>
    <row r="32" spans="1:6" x14ac:dyDescent="0.25">
      <c r="A32" s="15">
        <v>9905</v>
      </c>
      <c r="B32" s="27">
        <v>43281</v>
      </c>
      <c r="C32" s="28">
        <v>1030</v>
      </c>
      <c r="D32" s="29">
        <v>3</v>
      </c>
      <c r="E32" s="30">
        <v>2500</v>
      </c>
      <c r="F32" s="30" t="s">
        <v>60</v>
      </c>
    </row>
    <row r="33" spans="4:5" x14ac:dyDescent="0.25">
      <c r="D33" s="31"/>
      <c r="E33" s="31"/>
    </row>
    <row r="34" spans="4:5" x14ac:dyDescent="0.25">
      <c r="D34" s="31"/>
      <c r="E34" s="31"/>
    </row>
    <row r="35" spans="4:5" x14ac:dyDescent="0.25">
      <c r="D35" s="31"/>
      <c r="E35" s="31"/>
    </row>
    <row r="36" spans="4:5" x14ac:dyDescent="0.25">
      <c r="D36" s="31"/>
      <c r="E36" s="31"/>
    </row>
    <row r="37" spans="4:5" x14ac:dyDescent="0.25">
      <c r="D37" s="31"/>
      <c r="E37" s="31"/>
    </row>
    <row r="38" spans="4:5" x14ac:dyDescent="0.25">
      <c r="D38" s="31"/>
      <c r="E38" s="31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C8683-4309-4BE7-9A19-18CE57B481CB}">
  <sheetPr codeName="Planilha4">
    <tabColor theme="9" tint="-0.249977111117893"/>
  </sheetPr>
  <dimension ref="A3:B31"/>
  <sheetViews>
    <sheetView zoomScale="130" zoomScaleNormal="130" workbookViewId="0">
      <selection activeCell="B5" sqref="B5"/>
    </sheetView>
  </sheetViews>
  <sheetFormatPr defaultRowHeight="15" x14ac:dyDescent="0.25"/>
  <cols>
    <col min="1" max="1" width="23.85546875" bestFit="1" customWidth="1"/>
    <col min="2" max="2" width="18.85546875" bestFit="1" customWidth="1"/>
    <col min="3" max="6" width="13.85546875" bestFit="1" customWidth="1"/>
    <col min="7" max="7" width="16" bestFit="1" customWidth="1"/>
    <col min="8" max="8" width="13.5703125" bestFit="1" customWidth="1"/>
    <col min="9" max="11" width="12.7109375" bestFit="1" customWidth="1"/>
    <col min="12" max="12" width="13.85546875" bestFit="1" customWidth="1"/>
  </cols>
  <sheetData>
    <row r="3" spans="1:2" x14ac:dyDescent="0.25">
      <c r="A3" s="43" t="s">
        <v>81</v>
      </c>
      <c r="B3" t="s">
        <v>83</v>
      </c>
    </row>
    <row r="4" spans="1:2" x14ac:dyDescent="0.25">
      <c r="A4" s="22" t="s">
        <v>5</v>
      </c>
      <c r="B4" s="44"/>
    </row>
    <row r="5" spans="1:2" x14ac:dyDescent="0.25">
      <c r="A5" s="46" t="s">
        <v>17</v>
      </c>
      <c r="B5" s="44">
        <v>2499.98</v>
      </c>
    </row>
    <row r="6" spans="1:2" x14ac:dyDescent="0.25">
      <c r="A6" s="46" t="s">
        <v>26</v>
      </c>
      <c r="B6" s="44">
        <v>4800</v>
      </c>
    </row>
    <row r="7" spans="1:2" x14ac:dyDescent="0.25">
      <c r="A7" s="46" t="s">
        <v>15</v>
      </c>
      <c r="B7" s="44">
        <v>1500</v>
      </c>
    </row>
    <row r="8" spans="1:2" x14ac:dyDescent="0.25">
      <c r="A8" s="46" t="s">
        <v>34</v>
      </c>
      <c r="B8" s="44">
        <v>1499.94</v>
      </c>
    </row>
    <row r="9" spans="1:2" x14ac:dyDescent="0.25">
      <c r="A9" s="46" t="s">
        <v>32</v>
      </c>
      <c r="B9" s="44">
        <v>2799.96</v>
      </c>
    </row>
    <row r="10" spans="1:2" x14ac:dyDescent="0.25">
      <c r="A10" s="46" t="s">
        <v>30</v>
      </c>
      <c r="B10" s="44">
        <v>4999.96</v>
      </c>
    </row>
    <row r="11" spans="1:2" x14ac:dyDescent="0.25">
      <c r="A11" s="22" t="s">
        <v>6</v>
      </c>
      <c r="B11" s="44"/>
    </row>
    <row r="12" spans="1:2" x14ac:dyDescent="0.25">
      <c r="A12" s="46" t="s">
        <v>23</v>
      </c>
      <c r="B12" s="44">
        <v>4150</v>
      </c>
    </row>
    <row r="13" spans="1:2" x14ac:dyDescent="0.25">
      <c r="A13" s="46" t="s">
        <v>26</v>
      </c>
      <c r="B13" s="44">
        <v>2299.92</v>
      </c>
    </row>
    <row r="14" spans="1:2" x14ac:dyDescent="0.25">
      <c r="A14" s="46" t="s">
        <v>34</v>
      </c>
      <c r="B14" s="44">
        <v>1750</v>
      </c>
    </row>
    <row r="15" spans="1:2" x14ac:dyDescent="0.25">
      <c r="A15" s="46" t="s">
        <v>20</v>
      </c>
      <c r="B15" s="44">
        <v>2200</v>
      </c>
    </row>
    <row r="16" spans="1:2" x14ac:dyDescent="0.25">
      <c r="A16" s="46" t="s">
        <v>32</v>
      </c>
      <c r="B16" s="44">
        <v>3999.96</v>
      </c>
    </row>
    <row r="17" spans="1:2" x14ac:dyDescent="0.25">
      <c r="A17" s="46" t="s">
        <v>13</v>
      </c>
      <c r="B17" s="44">
        <v>1749.9999999999991</v>
      </c>
    </row>
    <row r="18" spans="1:2" x14ac:dyDescent="0.25">
      <c r="A18" s="22" t="s">
        <v>3</v>
      </c>
      <c r="B18" s="44"/>
    </row>
    <row r="19" spans="1:2" x14ac:dyDescent="0.25">
      <c r="A19" s="46" t="s">
        <v>28</v>
      </c>
      <c r="B19" s="44">
        <v>2350</v>
      </c>
    </row>
    <row r="20" spans="1:2" x14ac:dyDescent="0.25">
      <c r="A20" s="46" t="s">
        <v>23</v>
      </c>
      <c r="B20" s="44">
        <v>1799.98</v>
      </c>
    </row>
    <row r="21" spans="1:2" x14ac:dyDescent="0.25">
      <c r="A21" s="46" t="s">
        <v>26</v>
      </c>
      <c r="B21" s="44">
        <v>2300</v>
      </c>
    </row>
    <row r="22" spans="1:2" x14ac:dyDescent="0.25">
      <c r="A22" s="46" t="s">
        <v>20</v>
      </c>
      <c r="B22" s="44">
        <v>900</v>
      </c>
    </row>
    <row r="23" spans="1:2" x14ac:dyDescent="0.25">
      <c r="A23" s="46" t="s">
        <v>13</v>
      </c>
      <c r="B23" s="44">
        <v>1499.96</v>
      </c>
    </row>
    <row r="24" spans="1:2" x14ac:dyDescent="0.25">
      <c r="A24" s="46" t="s">
        <v>30</v>
      </c>
      <c r="B24" s="44">
        <v>3099.96</v>
      </c>
    </row>
    <row r="25" spans="1:2" x14ac:dyDescent="0.25">
      <c r="A25" s="22" t="s">
        <v>4</v>
      </c>
      <c r="B25" s="44"/>
    </row>
    <row r="26" spans="1:2" x14ac:dyDescent="0.25">
      <c r="A26" s="46" t="s">
        <v>28</v>
      </c>
      <c r="B26" s="44">
        <v>5049.9699999999993</v>
      </c>
    </row>
    <row r="27" spans="1:2" x14ac:dyDescent="0.25">
      <c r="A27" s="46" t="s">
        <v>17</v>
      </c>
      <c r="B27" s="44">
        <v>2800</v>
      </c>
    </row>
    <row r="28" spans="1:2" x14ac:dyDescent="0.25">
      <c r="A28" s="46" t="s">
        <v>15</v>
      </c>
      <c r="B28" s="44">
        <v>1750</v>
      </c>
    </row>
    <row r="29" spans="1:2" x14ac:dyDescent="0.25">
      <c r="A29" s="46" t="s">
        <v>34</v>
      </c>
      <c r="B29" s="44">
        <v>1750</v>
      </c>
    </row>
    <row r="30" spans="1:2" x14ac:dyDescent="0.25">
      <c r="A30" s="46" t="s">
        <v>32</v>
      </c>
      <c r="B30" s="44">
        <v>2350</v>
      </c>
    </row>
    <row r="31" spans="1:2" x14ac:dyDescent="0.25">
      <c r="A31" s="22" t="s">
        <v>82</v>
      </c>
      <c r="B31" s="44">
        <v>59899.590000000004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DC39-DD2C-4FB8-9AE9-B79A3198A735}">
  <sheetPr codeName="Planilha5">
    <tabColor theme="9" tint="-0.499984740745262"/>
  </sheetPr>
  <dimension ref="A1:F38"/>
  <sheetViews>
    <sheetView zoomScale="130" zoomScaleNormal="130" workbookViewId="0">
      <selection activeCell="D3" sqref="D3"/>
    </sheetView>
  </sheetViews>
  <sheetFormatPr defaultRowHeight="15" x14ac:dyDescent="0.25"/>
  <cols>
    <col min="1" max="1" width="13.5703125" bestFit="1" customWidth="1"/>
    <col min="2" max="2" width="13.85546875" bestFit="1" customWidth="1"/>
    <col min="3" max="3" width="3.7109375" customWidth="1"/>
    <col min="4" max="4" width="9" bestFit="1" customWidth="1"/>
    <col min="5" max="5" width="15.7109375" style="2" customWidth="1"/>
    <col min="6" max="6" width="3.7109375" style="22" customWidth="1"/>
  </cols>
  <sheetData>
    <row r="1" spans="1:6" ht="36" customHeight="1" x14ac:dyDescent="0.25">
      <c r="A1" s="45" t="s">
        <v>61</v>
      </c>
      <c r="B1" s="45"/>
      <c r="C1" s="45"/>
      <c r="D1" s="45"/>
      <c r="E1" s="45"/>
      <c r="F1" s="45"/>
    </row>
    <row r="2" spans="1:6" ht="15" customHeight="1" x14ac:dyDescent="0.25">
      <c r="E2"/>
      <c r="F2"/>
    </row>
    <row r="3" spans="1:6" x14ac:dyDescent="0.25">
      <c r="A3" s="1" t="s">
        <v>62</v>
      </c>
      <c r="B3" s="1" t="s">
        <v>63</v>
      </c>
      <c r="D3" s="1" t="s">
        <v>64</v>
      </c>
      <c r="E3" s="1" t="s">
        <v>65</v>
      </c>
      <c r="F3"/>
    </row>
    <row r="4" spans="1:6" x14ac:dyDescent="0.25">
      <c r="A4" s="3">
        <v>1</v>
      </c>
      <c r="B4" s="32" t="s">
        <v>66</v>
      </c>
      <c r="D4" s="3">
        <v>1</v>
      </c>
      <c r="E4" t="s">
        <v>67</v>
      </c>
      <c r="F4"/>
    </row>
    <row r="5" spans="1:6" x14ac:dyDescent="0.25">
      <c r="A5" s="3">
        <v>2</v>
      </c>
      <c r="B5" s="32" t="s">
        <v>68</v>
      </c>
      <c r="D5" s="3">
        <v>2</v>
      </c>
      <c r="E5" t="s">
        <v>69</v>
      </c>
      <c r="F5"/>
    </row>
    <row r="6" spans="1:6" x14ac:dyDescent="0.25">
      <c r="A6" s="3">
        <v>3</v>
      </c>
      <c r="B6" s="32" t="s">
        <v>70</v>
      </c>
      <c r="E6"/>
      <c r="F6"/>
    </row>
    <row r="7" spans="1:6" x14ac:dyDescent="0.25">
      <c r="A7" s="3">
        <v>4</v>
      </c>
      <c r="B7" s="32" t="s">
        <v>71</v>
      </c>
      <c r="E7"/>
    </row>
    <row r="8" spans="1:6" x14ac:dyDescent="0.25">
      <c r="A8" s="3">
        <v>5</v>
      </c>
      <c r="B8" s="32" t="s">
        <v>72</v>
      </c>
    </row>
    <row r="9" spans="1:6" x14ac:dyDescent="0.25">
      <c r="A9" s="3">
        <v>6</v>
      </c>
      <c r="B9" s="32" t="s">
        <v>73</v>
      </c>
      <c r="F9"/>
    </row>
    <row r="10" spans="1:6" x14ac:dyDescent="0.25">
      <c r="A10" s="3">
        <v>7</v>
      </c>
      <c r="B10" s="32" t="s">
        <v>74</v>
      </c>
      <c r="F10"/>
    </row>
    <row r="11" spans="1:6" x14ac:dyDescent="0.25">
      <c r="A11" s="3">
        <v>8</v>
      </c>
      <c r="B11" s="32" t="s">
        <v>75</v>
      </c>
      <c r="E11"/>
      <c r="F11"/>
    </row>
    <row r="12" spans="1:6" x14ac:dyDescent="0.25">
      <c r="A12" s="3">
        <v>9</v>
      </c>
      <c r="B12" s="32" t="s">
        <v>76</v>
      </c>
      <c r="E12"/>
      <c r="F12"/>
    </row>
    <row r="13" spans="1:6" x14ac:dyDescent="0.25">
      <c r="A13" s="3">
        <v>10</v>
      </c>
      <c r="B13" s="32" t="s">
        <v>77</v>
      </c>
      <c r="E13"/>
      <c r="F13"/>
    </row>
    <row r="14" spans="1:6" x14ac:dyDescent="0.25">
      <c r="B14" s="6"/>
      <c r="E14"/>
      <c r="F14"/>
    </row>
    <row r="15" spans="1:6" x14ac:dyDescent="0.25">
      <c r="B15" s="6"/>
      <c r="E15"/>
      <c r="F15"/>
    </row>
    <row r="16" spans="1:6" x14ac:dyDescent="0.25">
      <c r="B16" s="6"/>
      <c r="E16"/>
      <c r="F16"/>
    </row>
    <row r="17" spans="2:6" x14ac:dyDescent="0.25">
      <c r="B17" s="6"/>
      <c r="E17"/>
      <c r="F17"/>
    </row>
    <row r="18" spans="2:6" x14ac:dyDescent="0.25">
      <c r="B18" s="6"/>
      <c r="E18"/>
      <c r="F18"/>
    </row>
    <row r="19" spans="2:6" x14ac:dyDescent="0.25">
      <c r="B19" s="6"/>
      <c r="E19"/>
      <c r="F19"/>
    </row>
    <row r="20" spans="2:6" x14ac:dyDescent="0.25">
      <c r="B20" s="6"/>
      <c r="E20"/>
      <c r="F20"/>
    </row>
    <row r="21" spans="2:6" x14ac:dyDescent="0.25">
      <c r="B21" s="6"/>
      <c r="E21"/>
      <c r="F21"/>
    </row>
    <row r="22" spans="2:6" x14ac:dyDescent="0.25">
      <c r="B22" s="6"/>
      <c r="E22"/>
      <c r="F22"/>
    </row>
    <row r="23" spans="2:6" x14ac:dyDescent="0.25">
      <c r="B23" s="6"/>
      <c r="E23"/>
      <c r="F23"/>
    </row>
    <row r="24" spans="2:6" x14ac:dyDescent="0.25">
      <c r="B24" s="6"/>
      <c r="E24"/>
      <c r="F24"/>
    </row>
    <row r="25" spans="2:6" x14ac:dyDescent="0.25">
      <c r="B25" s="6"/>
      <c r="E25"/>
      <c r="F25"/>
    </row>
    <row r="26" spans="2:6" x14ac:dyDescent="0.25">
      <c r="B26" s="6"/>
      <c r="E26"/>
      <c r="F26"/>
    </row>
    <row r="27" spans="2:6" x14ac:dyDescent="0.25">
      <c r="B27" s="6"/>
      <c r="E27"/>
      <c r="F27"/>
    </row>
    <row r="28" spans="2:6" x14ac:dyDescent="0.25">
      <c r="B28" s="6"/>
      <c r="E28"/>
      <c r="F28"/>
    </row>
    <row r="29" spans="2:6" x14ac:dyDescent="0.25">
      <c r="B29" s="6"/>
      <c r="E29"/>
      <c r="F29"/>
    </row>
    <row r="30" spans="2:6" x14ac:dyDescent="0.25">
      <c r="B30" s="6"/>
      <c r="E30"/>
      <c r="F30"/>
    </row>
    <row r="31" spans="2:6" x14ac:dyDescent="0.25">
      <c r="B31" s="6"/>
      <c r="E31"/>
      <c r="F31"/>
    </row>
    <row r="32" spans="2:6" x14ac:dyDescent="0.25">
      <c r="B32" s="6"/>
      <c r="E32"/>
      <c r="F32"/>
    </row>
    <row r="33" spans="5:5" x14ac:dyDescent="0.25">
      <c r="E33" s="7"/>
    </row>
    <row r="34" spans="5:5" x14ac:dyDescent="0.25">
      <c r="E34" s="7"/>
    </row>
    <row r="35" spans="5:5" x14ac:dyDescent="0.25">
      <c r="E35" s="7"/>
    </row>
    <row r="36" spans="5:5" x14ac:dyDescent="0.25">
      <c r="E36" s="7"/>
    </row>
    <row r="37" spans="5:5" x14ac:dyDescent="0.25">
      <c r="E37" s="7"/>
    </row>
    <row r="38" spans="5:5" x14ac:dyDescent="0.25">
      <c r="E38" s="7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109FC-8866-46CE-998C-C9D2B730A11D}">
  <sheetPr codeName="Planilha6">
    <tabColor theme="9" tint="-0.249977111117893"/>
  </sheetPr>
  <dimension ref="A1:E62"/>
  <sheetViews>
    <sheetView topLeftCell="A3" zoomScale="130" zoomScaleNormal="130" workbookViewId="0">
      <selection activeCell="C5" sqref="C5"/>
    </sheetView>
  </sheetViews>
  <sheetFormatPr defaultRowHeight="15" x14ac:dyDescent="0.25"/>
  <cols>
    <col min="1" max="1" width="11.28515625" bestFit="1" customWidth="1"/>
    <col min="2" max="4" width="14.28515625" customWidth="1"/>
    <col min="5" max="5" width="11" bestFit="1" customWidth="1"/>
  </cols>
  <sheetData>
    <row r="1" spans="1:5" ht="36" customHeight="1" x14ac:dyDescent="0.25">
      <c r="A1" s="45" t="s">
        <v>78</v>
      </c>
      <c r="B1" s="45"/>
      <c r="C1" s="45"/>
      <c r="D1" s="45"/>
    </row>
    <row r="2" spans="1:5" x14ac:dyDescent="0.25">
      <c r="A2" s="33" t="s">
        <v>79</v>
      </c>
      <c r="B2" s="33" t="s">
        <v>62</v>
      </c>
      <c r="C2" s="33" t="s">
        <v>64</v>
      </c>
      <c r="D2" s="33" t="s">
        <v>80</v>
      </c>
    </row>
    <row r="3" spans="1:5" x14ac:dyDescent="0.25">
      <c r="A3" s="34">
        <v>43105</v>
      </c>
      <c r="B3" s="35">
        <v>1</v>
      </c>
      <c r="C3" s="35">
        <v>1</v>
      </c>
      <c r="D3" s="36">
        <v>4300</v>
      </c>
      <c r="E3" s="37"/>
    </row>
    <row r="4" spans="1:5" x14ac:dyDescent="0.25">
      <c r="A4" s="34">
        <v>43115</v>
      </c>
      <c r="B4" s="35">
        <v>2</v>
      </c>
      <c r="C4" s="35">
        <v>1</v>
      </c>
      <c r="D4" s="36">
        <v>1330</v>
      </c>
    </row>
    <row r="5" spans="1:5" x14ac:dyDescent="0.25">
      <c r="A5" s="34">
        <v>43118</v>
      </c>
      <c r="B5" s="35">
        <v>3</v>
      </c>
      <c r="C5" s="35">
        <v>1</v>
      </c>
      <c r="D5" s="36">
        <v>235</v>
      </c>
    </row>
    <row r="6" spans="1:5" x14ac:dyDescent="0.25">
      <c r="A6" s="34">
        <v>43125</v>
      </c>
      <c r="B6" s="35">
        <v>4</v>
      </c>
      <c r="C6" s="35">
        <v>1</v>
      </c>
      <c r="D6" s="36">
        <v>356</v>
      </c>
    </row>
    <row r="7" spans="1:5" x14ac:dyDescent="0.25">
      <c r="A7" s="34">
        <v>43130</v>
      </c>
      <c r="B7" s="35">
        <v>5</v>
      </c>
      <c r="C7" s="35">
        <v>1</v>
      </c>
      <c r="D7" s="36">
        <v>457</v>
      </c>
    </row>
    <row r="8" spans="1:5" x14ac:dyDescent="0.25">
      <c r="A8" s="34">
        <v>43110</v>
      </c>
      <c r="B8" s="35">
        <v>6</v>
      </c>
      <c r="C8" s="35">
        <v>2</v>
      </c>
      <c r="D8" s="36">
        <v>2300</v>
      </c>
    </row>
    <row r="9" spans="1:5" x14ac:dyDescent="0.25">
      <c r="A9" s="34">
        <v>43117</v>
      </c>
      <c r="B9" s="35">
        <v>7</v>
      </c>
      <c r="C9" s="35">
        <v>2</v>
      </c>
      <c r="D9" s="36">
        <v>380</v>
      </c>
    </row>
    <row r="10" spans="1:5" x14ac:dyDescent="0.25">
      <c r="A10" s="34">
        <v>43120</v>
      </c>
      <c r="B10" s="35">
        <v>8</v>
      </c>
      <c r="C10" s="35">
        <v>2</v>
      </c>
      <c r="D10" s="36">
        <v>950</v>
      </c>
    </row>
    <row r="11" spans="1:5" x14ac:dyDescent="0.25">
      <c r="A11" s="34">
        <v>43128</v>
      </c>
      <c r="B11" s="35">
        <v>9</v>
      </c>
      <c r="C11" s="35">
        <v>2</v>
      </c>
      <c r="D11" s="36">
        <v>288.44</v>
      </c>
    </row>
    <row r="12" spans="1:5" x14ac:dyDescent="0.25">
      <c r="A12" s="34">
        <v>43130</v>
      </c>
      <c r="B12" s="35">
        <v>3</v>
      </c>
      <c r="C12" s="35">
        <v>2</v>
      </c>
      <c r="D12" s="36">
        <v>450</v>
      </c>
    </row>
    <row r="13" spans="1:5" x14ac:dyDescent="0.25">
      <c r="A13" s="34">
        <v>43136</v>
      </c>
      <c r="B13" s="35">
        <v>1</v>
      </c>
      <c r="C13" s="35">
        <v>1</v>
      </c>
      <c r="D13" s="38">
        <v>4300</v>
      </c>
    </row>
    <row r="14" spans="1:5" x14ac:dyDescent="0.25">
      <c r="A14" s="34">
        <v>43146</v>
      </c>
      <c r="B14" s="35">
        <v>2</v>
      </c>
      <c r="C14" s="35">
        <v>1</v>
      </c>
      <c r="D14" s="38">
        <v>1450</v>
      </c>
    </row>
    <row r="15" spans="1:5" x14ac:dyDescent="0.25">
      <c r="A15" s="34">
        <v>43149</v>
      </c>
      <c r="B15" s="35">
        <v>3</v>
      </c>
      <c r="C15" s="35">
        <v>1</v>
      </c>
      <c r="D15" s="39">
        <v>173</v>
      </c>
    </row>
    <row r="16" spans="1:5" x14ac:dyDescent="0.25">
      <c r="A16" s="34">
        <v>43156</v>
      </c>
      <c r="B16" s="35">
        <v>4</v>
      </c>
      <c r="C16" s="35">
        <v>1</v>
      </c>
      <c r="D16" s="39">
        <v>400</v>
      </c>
    </row>
    <row r="17" spans="1:4" x14ac:dyDescent="0.25">
      <c r="A17" s="34">
        <v>43159</v>
      </c>
      <c r="B17" s="35">
        <v>5</v>
      </c>
      <c r="C17" s="35">
        <v>1</v>
      </c>
      <c r="D17" s="39">
        <v>625</v>
      </c>
    </row>
    <row r="18" spans="1:4" x14ac:dyDescent="0.25">
      <c r="A18" s="34">
        <v>43141</v>
      </c>
      <c r="B18" s="35">
        <v>6</v>
      </c>
      <c r="C18" s="35">
        <v>2</v>
      </c>
      <c r="D18" s="40">
        <v>2300</v>
      </c>
    </row>
    <row r="19" spans="1:4" x14ac:dyDescent="0.25">
      <c r="A19" s="34">
        <v>43148</v>
      </c>
      <c r="B19" s="35">
        <v>7</v>
      </c>
      <c r="C19" s="35">
        <v>2</v>
      </c>
      <c r="D19" s="38">
        <v>400</v>
      </c>
    </row>
    <row r="20" spans="1:4" x14ac:dyDescent="0.25">
      <c r="A20" s="34">
        <v>43151</v>
      </c>
      <c r="B20" s="35">
        <v>8</v>
      </c>
      <c r="C20" s="35">
        <v>2</v>
      </c>
      <c r="D20" s="38">
        <v>1200</v>
      </c>
    </row>
    <row r="21" spans="1:4" x14ac:dyDescent="0.25">
      <c r="A21" s="34">
        <v>43159</v>
      </c>
      <c r="B21" s="35">
        <v>9</v>
      </c>
      <c r="C21" s="35">
        <v>2</v>
      </c>
      <c r="D21" s="38">
        <v>288.44</v>
      </c>
    </row>
    <row r="22" spans="1:4" x14ac:dyDescent="0.25">
      <c r="A22" s="34">
        <v>43159</v>
      </c>
      <c r="B22" s="35">
        <v>3</v>
      </c>
      <c r="C22" s="35">
        <v>2</v>
      </c>
      <c r="D22" s="38">
        <v>1900</v>
      </c>
    </row>
    <row r="23" spans="1:4" x14ac:dyDescent="0.25">
      <c r="A23" s="34">
        <v>43164</v>
      </c>
      <c r="B23" s="35">
        <v>1</v>
      </c>
      <c r="C23" s="35">
        <v>1</v>
      </c>
      <c r="D23" s="38">
        <v>5200</v>
      </c>
    </row>
    <row r="24" spans="1:4" x14ac:dyDescent="0.25">
      <c r="A24" s="34">
        <v>43174</v>
      </c>
      <c r="B24" s="35">
        <v>2</v>
      </c>
      <c r="C24" s="35">
        <v>1</v>
      </c>
      <c r="D24" s="38">
        <v>1150</v>
      </c>
    </row>
    <row r="25" spans="1:4" x14ac:dyDescent="0.25">
      <c r="A25" s="34">
        <v>43177</v>
      </c>
      <c r="B25" s="35">
        <v>3</v>
      </c>
      <c r="C25" s="35">
        <v>1</v>
      </c>
      <c r="D25" s="39">
        <v>756</v>
      </c>
    </row>
    <row r="26" spans="1:4" x14ac:dyDescent="0.25">
      <c r="A26" s="34">
        <v>43184</v>
      </c>
      <c r="B26" s="35">
        <v>4</v>
      </c>
      <c r="C26" s="35">
        <v>1</v>
      </c>
      <c r="D26" s="39">
        <v>415</v>
      </c>
    </row>
    <row r="27" spans="1:4" x14ac:dyDescent="0.25">
      <c r="A27" s="34">
        <v>43189</v>
      </c>
      <c r="B27" s="35">
        <v>5</v>
      </c>
      <c r="C27" s="35">
        <v>1</v>
      </c>
      <c r="D27" s="39">
        <v>693</v>
      </c>
    </row>
    <row r="28" spans="1:4" x14ac:dyDescent="0.25">
      <c r="A28" s="34">
        <v>43169</v>
      </c>
      <c r="B28" s="35">
        <v>6</v>
      </c>
      <c r="C28" s="35">
        <v>2</v>
      </c>
      <c r="D28" s="40">
        <v>2450</v>
      </c>
    </row>
    <row r="29" spans="1:4" x14ac:dyDescent="0.25">
      <c r="A29" s="34">
        <v>43176</v>
      </c>
      <c r="B29" s="35">
        <v>7</v>
      </c>
      <c r="C29" s="35">
        <v>2</v>
      </c>
      <c r="D29" s="38">
        <v>380</v>
      </c>
    </row>
    <row r="30" spans="1:4" x14ac:dyDescent="0.25">
      <c r="A30" s="34">
        <v>43179</v>
      </c>
      <c r="B30" s="35">
        <v>8</v>
      </c>
      <c r="C30" s="35">
        <v>2</v>
      </c>
      <c r="D30" s="38">
        <v>950</v>
      </c>
    </row>
    <row r="31" spans="1:4" x14ac:dyDescent="0.25">
      <c r="A31" s="34">
        <v>43187</v>
      </c>
      <c r="B31" s="35">
        <v>9</v>
      </c>
      <c r="C31" s="35">
        <v>2</v>
      </c>
      <c r="D31" s="38">
        <v>508.17</v>
      </c>
    </row>
    <row r="32" spans="1:4" x14ac:dyDescent="0.25">
      <c r="A32" s="34">
        <v>43189</v>
      </c>
      <c r="B32" s="35">
        <v>3</v>
      </c>
      <c r="C32" s="35">
        <v>2</v>
      </c>
      <c r="D32" s="38">
        <v>550</v>
      </c>
    </row>
    <row r="33" spans="1:4" x14ac:dyDescent="0.25">
      <c r="A33" s="34">
        <v>43195</v>
      </c>
      <c r="B33" s="35">
        <v>1</v>
      </c>
      <c r="C33" s="35">
        <v>1</v>
      </c>
      <c r="D33" s="38">
        <v>5200</v>
      </c>
    </row>
    <row r="34" spans="1:4" x14ac:dyDescent="0.25">
      <c r="A34" s="34">
        <v>43205</v>
      </c>
      <c r="B34" s="35">
        <v>2</v>
      </c>
      <c r="C34" s="35">
        <v>1</v>
      </c>
      <c r="D34" s="38">
        <v>1495</v>
      </c>
    </row>
    <row r="35" spans="1:4" x14ac:dyDescent="0.25">
      <c r="A35" s="34">
        <v>43208</v>
      </c>
      <c r="B35" s="35">
        <v>3</v>
      </c>
      <c r="C35" s="35">
        <v>1</v>
      </c>
      <c r="D35" s="39">
        <v>900</v>
      </c>
    </row>
    <row r="36" spans="1:4" x14ac:dyDescent="0.25">
      <c r="A36" s="34">
        <v>43215</v>
      </c>
      <c r="B36" s="35">
        <v>4</v>
      </c>
      <c r="C36" s="35">
        <v>1</v>
      </c>
      <c r="D36" s="39">
        <v>435</v>
      </c>
    </row>
    <row r="37" spans="1:4" x14ac:dyDescent="0.25">
      <c r="A37" s="34">
        <v>43220</v>
      </c>
      <c r="B37" s="35">
        <v>5</v>
      </c>
      <c r="C37" s="35">
        <v>1</v>
      </c>
      <c r="D37" s="39">
        <v>712</v>
      </c>
    </row>
    <row r="38" spans="1:4" x14ac:dyDescent="0.25">
      <c r="A38" s="34">
        <v>43200</v>
      </c>
      <c r="B38" s="35">
        <v>6</v>
      </c>
      <c r="C38" s="35">
        <v>2</v>
      </c>
      <c r="D38" s="40">
        <v>2300</v>
      </c>
    </row>
    <row r="39" spans="1:4" x14ac:dyDescent="0.25">
      <c r="A39" s="34">
        <v>43207</v>
      </c>
      <c r="B39" s="35">
        <v>7</v>
      </c>
      <c r="C39" s="35">
        <v>2</v>
      </c>
      <c r="D39" s="38">
        <v>380</v>
      </c>
    </row>
    <row r="40" spans="1:4" x14ac:dyDescent="0.25">
      <c r="A40" s="34">
        <v>43210</v>
      </c>
      <c r="B40" s="35">
        <v>8</v>
      </c>
      <c r="C40" s="35">
        <v>2</v>
      </c>
      <c r="D40" s="38">
        <v>1000</v>
      </c>
    </row>
    <row r="41" spans="1:4" x14ac:dyDescent="0.25">
      <c r="A41" s="34">
        <v>43218</v>
      </c>
      <c r="B41" s="35">
        <v>9</v>
      </c>
      <c r="C41" s="35">
        <v>2</v>
      </c>
      <c r="D41" s="38">
        <v>508.17</v>
      </c>
    </row>
    <row r="42" spans="1:4" x14ac:dyDescent="0.25">
      <c r="A42" s="34">
        <v>43220</v>
      </c>
      <c r="B42" s="35">
        <v>3</v>
      </c>
      <c r="C42" s="35">
        <v>2</v>
      </c>
      <c r="D42" s="38">
        <v>800</v>
      </c>
    </row>
    <row r="43" spans="1:4" x14ac:dyDescent="0.25">
      <c r="A43" s="34">
        <v>43225</v>
      </c>
      <c r="B43" s="35">
        <v>1</v>
      </c>
      <c r="C43" s="35">
        <v>1</v>
      </c>
      <c r="D43" s="38">
        <v>5200</v>
      </c>
    </row>
    <row r="44" spans="1:4" x14ac:dyDescent="0.25">
      <c r="A44" s="34">
        <v>43235</v>
      </c>
      <c r="B44" s="35">
        <v>2</v>
      </c>
      <c r="C44" s="35">
        <v>1</v>
      </c>
      <c r="D44" s="38">
        <v>3150</v>
      </c>
    </row>
    <row r="45" spans="1:4" x14ac:dyDescent="0.25">
      <c r="A45" s="34">
        <v>43238</v>
      </c>
      <c r="B45" s="35">
        <v>3</v>
      </c>
      <c r="C45" s="35">
        <v>1</v>
      </c>
      <c r="D45" s="39">
        <v>956</v>
      </c>
    </row>
    <row r="46" spans="1:4" x14ac:dyDescent="0.25">
      <c r="A46" s="34">
        <v>43245</v>
      </c>
      <c r="B46" s="35">
        <v>4</v>
      </c>
      <c r="C46" s="35">
        <v>1</v>
      </c>
      <c r="D46" s="39">
        <v>515</v>
      </c>
    </row>
    <row r="47" spans="1:4" x14ac:dyDescent="0.25">
      <c r="A47" s="34">
        <v>43250</v>
      </c>
      <c r="B47" s="35">
        <v>5</v>
      </c>
      <c r="C47" s="35">
        <v>1</v>
      </c>
      <c r="D47" s="39">
        <v>993</v>
      </c>
    </row>
    <row r="48" spans="1:4" x14ac:dyDescent="0.25">
      <c r="A48" s="34">
        <v>43230</v>
      </c>
      <c r="B48" s="35">
        <v>6</v>
      </c>
      <c r="C48" s="35">
        <v>2</v>
      </c>
      <c r="D48" s="40">
        <v>2450</v>
      </c>
    </row>
    <row r="49" spans="1:4" x14ac:dyDescent="0.25">
      <c r="A49" s="34">
        <v>43237</v>
      </c>
      <c r="B49" s="35">
        <v>7</v>
      </c>
      <c r="C49" s="35">
        <v>2</v>
      </c>
      <c r="D49" s="38">
        <v>480</v>
      </c>
    </row>
    <row r="50" spans="1:4" x14ac:dyDescent="0.25">
      <c r="A50" s="34">
        <v>43240</v>
      </c>
      <c r="B50" s="35">
        <v>8</v>
      </c>
      <c r="C50" s="35">
        <v>2</v>
      </c>
      <c r="D50" s="38">
        <v>1050</v>
      </c>
    </row>
    <row r="51" spans="1:4" x14ac:dyDescent="0.25">
      <c r="A51" s="34">
        <v>43248</v>
      </c>
      <c r="B51" s="35">
        <v>9</v>
      </c>
      <c r="C51" s="35">
        <v>2</v>
      </c>
      <c r="D51" s="38">
        <v>808.17</v>
      </c>
    </row>
    <row r="52" spans="1:4" x14ac:dyDescent="0.25">
      <c r="A52" s="34">
        <v>43250</v>
      </c>
      <c r="B52" s="35">
        <v>3</v>
      </c>
      <c r="C52" s="35">
        <v>2</v>
      </c>
      <c r="D52" s="38">
        <v>850</v>
      </c>
    </row>
    <row r="53" spans="1:4" x14ac:dyDescent="0.25">
      <c r="A53" s="34">
        <v>43256</v>
      </c>
      <c r="B53" s="35">
        <v>1</v>
      </c>
      <c r="C53" s="35">
        <v>1</v>
      </c>
      <c r="D53" s="38">
        <v>5200</v>
      </c>
    </row>
    <row r="54" spans="1:4" x14ac:dyDescent="0.25">
      <c r="A54" s="34">
        <v>43266</v>
      </c>
      <c r="B54" s="35">
        <v>2</v>
      </c>
      <c r="C54" s="35">
        <v>1</v>
      </c>
      <c r="D54" s="38">
        <v>3550</v>
      </c>
    </row>
    <row r="55" spans="1:4" x14ac:dyDescent="0.25">
      <c r="A55" s="34">
        <v>43269</v>
      </c>
      <c r="B55" s="35">
        <v>3</v>
      </c>
      <c r="C55" s="35">
        <v>1</v>
      </c>
      <c r="D55" s="39">
        <v>1056</v>
      </c>
    </row>
    <row r="56" spans="1:4" x14ac:dyDescent="0.25">
      <c r="A56" s="34">
        <v>43276</v>
      </c>
      <c r="B56" s="35">
        <v>4</v>
      </c>
      <c r="C56" s="35">
        <v>1</v>
      </c>
      <c r="D56" s="39">
        <v>715</v>
      </c>
    </row>
    <row r="57" spans="1:4" x14ac:dyDescent="0.25">
      <c r="A57" s="34">
        <v>43281</v>
      </c>
      <c r="B57" s="35">
        <v>5</v>
      </c>
      <c r="C57" s="35">
        <v>1</v>
      </c>
      <c r="D57" s="39">
        <v>1093</v>
      </c>
    </row>
    <row r="58" spans="1:4" x14ac:dyDescent="0.25">
      <c r="A58" s="34">
        <v>43261</v>
      </c>
      <c r="B58" s="35">
        <v>6</v>
      </c>
      <c r="C58" s="35">
        <v>2</v>
      </c>
      <c r="D58" s="40">
        <v>2450</v>
      </c>
    </row>
    <row r="59" spans="1:4" x14ac:dyDescent="0.25">
      <c r="A59" s="34">
        <v>43268</v>
      </c>
      <c r="B59" s="35">
        <v>7</v>
      </c>
      <c r="C59" s="35">
        <v>2</v>
      </c>
      <c r="D59" s="38">
        <v>510</v>
      </c>
    </row>
    <row r="60" spans="1:4" x14ac:dyDescent="0.25">
      <c r="A60" s="34">
        <v>43271</v>
      </c>
      <c r="B60" s="35">
        <v>8</v>
      </c>
      <c r="C60" s="35">
        <v>2</v>
      </c>
      <c r="D60" s="38">
        <v>1100</v>
      </c>
    </row>
    <row r="61" spans="1:4" x14ac:dyDescent="0.25">
      <c r="A61" s="34">
        <v>43279</v>
      </c>
      <c r="B61" s="35">
        <v>9</v>
      </c>
      <c r="C61" s="35">
        <v>2</v>
      </c>
      <c r="D61" s="38">
        <v>745</v>
      </c>
    </row>
    <row r="62" spans="1:4" x14ac:dyDescent="0.25">
      <c r="A62" s="41">
        <v>43281</v>
      </c>
      <c r="B62" s="42">
        <v>3</v>
      </c>
      <c r="C62" s="42">
        <v>2</v>
      </c>
      <c r="D62" s="39">
        <v>933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29C3-9FB9-4CE3-BE71-3D656337E36C}">
  <dimension ref="A3:H18"/>
  <sheetViews>
    <sheetView tabSelected="1" zoomScale="130" zoomScaleNormal="130" workbookViewId="0">
      <selection activeCell="B8" sqref="B8"/>
    </sheetView>
  </sheetViews>
  <sheetFormatPr defaultRowHeight="15" x14ac:dyDescent="0.25"/>
  <cols>
    <col min="1" max="1" width="18" bestFit="1" customWidth="1"/>
    <col min="2" max="2" width="19.5703125" bestFit="1" customWidth="1"/>
    <col min="3" max="8" width="13.85546875" bestFit="1" customWidth="1"/>
    <col min="9" max="10" width="11.5703125" bestFit="1" customWidth="1"/>
    <col min="11" max="13" width="12.7109375" bestFit="1" customWidth="1"/>
    <col min="14" max="15" width="11.5703125" bestFit="1" customWidth="1"/>
    <col min="16" max="16" width="12.7109375" bestFit="1" customWidth="1"/>
    <col min="17" max="17" width="11.5703125" bestFit="1" customWidth="1"/>
    <col min="18" max="21" width="12.7109375" bestFit="1" customWidth="1"/>
    <col min="22" max="26" width="11.5703125" bestFit="1" customWidth="1"/>
    <col min="27" max="30" width="12.7109375" bestFit="1" customWidth="1"/>
    <col min="31" max="32" width="11.5703125" bestFit="1" customWidth="1"/>
    <col min="33" max="33" width="12.7109375" bestFit="1" customWidth="1"/>
    <col min="34" max="35" width="11.5703125" bestFit="1" customWidth="1"/>
    <col min="36" max="39" width="12.7109375" bestFit="1" customWidth="1"/>
    <col min="40" max="41" width="11.5703125" bestFit="1" customWidth="1"/>
    <col min="42" max="42" width="12.7109375" bestFit="1" customWidth="1"/>
    <col min="43" max="44" width="11.5703125" bestFit="1" customWidth="1"/>
    <col min="45" max="48" width="12.7109375" bestFit="1" customWidth="1"/>
    <col min="49" max="49" width="11.5703125" bestFit="1" customWidth="1"/>
    <col min="50" max="51" width="12.7109375" bestFit="1" customWidth="1"/>
    <col min="52" max="53" width="11.5703125" bestFit="1" customWidth="1"/>
    <col min="54" max="54" width="12.7109375" bestFit="1" customWidth="1"/>
    <col min="55" max="55" width="13.85546875" bestFit="1" customWidth="1"/>
  </cols>
  <sheetData>
    <row r="3" spans="1:8" x14ac:dyDescent="0.25">
      <c r="A3" s="43" t="s">
        <v>85</v>
      </c>
      <c r="B3" s="43" t="s">
        <v>84</v>
      </c>
    </row>
    <row r="4" spans="1:8" x14ac:dyDescent="0.25">
      <c r="B4" t="s">
        <v>86</v>
      </c>
      <c r="C4" t="s">
        <v>87</v>
      </c>
      <c r="D4" t="s">
        <v>88</v>
      </c>
      <c r="E4" t="s">
        <v>89</v>
      </c>
      <c r="F4" t="s">
        <v>90</v>
      </c>
      <c r="G4" t="s">
        <v>91</v>
      </c>
      <c r="H4" t="s">
        <v>82</v>
      </c>
    </row>
    <row r="5" spans="1:8" x14ac:dyDescent="0.25">
      <c r="A5" s="43" t="s">
        <v>81</v>
      </c>
    </row>
    <row r="6" spans="1:8" x14ac:dyDescent="0.25">
      <c r="A6" s="22" t="s">
        <v>67</v>
      </c>
      <c r="B6" s="44"/>
      <c r="C6" s="44"/>
      <c r="D6" s="44"/>
      <c r="E6" s="44"/>
      <c r="F6" s="44"/>
      <c r="G6" s="44"/>
      <c r="H6" s="44"/>
    </row>
    <row r="7" spans="1:8" x14ac:dyDescent="0.25">
      <c r="A7" s="46" t="s">
        <v>66</v>
      </c>
      <c r="B7" s="44">
        <v>4300</v>
      </c>
      <c r="C7" s="44">
        <v>4300</v>
      </c>
      <c r="D7" s="44">
        <v>5200</v>
      </c>
      <c r="E7" s="44">
        <v>5200</v>
      </c>
      <c r="F7" s="44">
        <v>5200</v>
      </c>
      <c r="G7" s="44">
        <v>5200</v>
      </c>
      <c r="H7" s="44">
        <v>29400</v>
      </c>
    </row>
    <row r="8" spans="1:8" x14ac:dyDescent="0.25">
      <c r="A8" s="46" t="s">
        <v>68</v>
      </c>
      <c r="B8" s="44">
        <v>1330</v>
      </c>
      <c r="C8" s="44">
        <v>1450</v>
      </c>
      <c r="D8" s="44">
        <v>1150</v>
      </c>
      <c r="E8" s="44">
        <v>1495</v>
      </c>
      <c r="F8" s="44">
        <v>3150</v>
      </c>
      <c r="G8" s="44">
        <v>3550</v>
      </c>
      <c r="H8" s="44">
        <v>12125</v>
      </c>
    </row>
    <row r="9" spans="1:8" x14ac:dyDescent="0.25">
      <c r="A9" s="46" t="s">
        <v>70</v>
      </c>
      <c r="B9" s="44">
        <v>235</v>
      </c>
      <c r="C9" s="44">
        <v>173</v>
      </c>
      <c r="D9" s="44">
        <v>756</v>
      </c>
      <c r="E9" s="44">
        <v>900</v>
      </c>
      <c r="F9" s="44">
        <v>956</v>
      </c>
      <c r="G9" s="44">
        <v>1056</v>
      </c>
      <c r="H9" s="44">
        <v>4076</v>
      </c>
    </row>
    <row r="10" spans="1:8" x14ac:dyDescent="0.25">
      <c r="A10" s="46" t="s">
        <v>72</v>
      </c>
      <c r="B10" s="44">
        <v>457</v>
      </c>
      <c r="C10" s="44">
        <v>625</v>
      </c>
      <c r="D10" s="44">
        <v>693</v>
      </c>
      <c r="E10" s="44">
        <v>712</v>
      </c>
      <c r="F10" s="44">
        <v>993</v>
      </c>
      <c r="G10" s="44">
        <v>1093</v>
      </c>
      <c r="H10" s="44">
        <v>4573</v>
      </c>
    </row>
    <row r="11" spans="1:8" x14ac:dyDescent="0.25">
      <c r="A11" s="46" t="s">
        <v>71</v>
      </c>
      <c r="B11" s="44">
        <v>356</v>
      </c>
      <c r="C11" s="44">
        <v>400</v>
      </c>
      <c r="D11" s="44">
        <v>415</v>
      </c>
      <c r="E11" s="44">
        <v>435</v>
      </c>
      <c r="F11" s="44">
        <v>515</v>
      </c>
      <c r="G11" s="44">
        <v>715</v>
      </c>
      <c r="H11" s="44">
        <v>2836</v>
      </c>
    </row>
    <row r="12" spans="1:8" x14ac:dyDescent="0.25">
      <c r="A12" s="22" t="s">
        <v>69</v>
      </c>
      <c r="B12" s="44"/>
      <c r="C12" s="44"/>
      <c r="D12" s="44"/>
      <c r="E12" s="44"/>
      <c r="F12" s="44"/>
      <c r="G12" s="44"/>
      <c r="H12" s="44"/>
    </row>
    <row r="13" spans="1:8" x14ac:dyDescent="0.25">
      <c r="A13" s="46" t="s">
        <v>70</v>
      </c>
      <c r="B13" s="44">
        <v>450</v>
      </c>
      <c r="C13" s="44">
        <v>1900</v>
      </c>
      <c r="D13" s="44">
        <v>550</v>
      </c>
      <c r="E13" s="44">
        <v>800</v>
      </c>
      <c r="F13" s="44">
        <v>850</v>
      </c>
      <c r="G13" s="44">
        <v>933</v>
      </c>
      <c r="H13" s="44">
        <v>5483</v>
      </c>
    </row>
    <row r="14" spans="1:8" x14ac:dyDescent="0.25">
      <c r="A14" s="46" t="s">
        <v>75</v>
      </c>
      <c r="B14" s="44">
        <v>950</v>
      </c>
      <c r="C14" s="44">
        <v>1200</v>
      </c>
      <c r="D14" s="44">
        <v>950</v>
      </c>
      <c r="E14" s="44">
        <v>1000</v>
      </c>
      <c r="F14" s="44">
        <v>1050</v>
      </c>
      <c r="G14" s="44">
        <v>1100</v>
      </c>
      <c r="H14" s="44">
        <v>6250</v>
      </c>
    </row>
    <row r="15" spans="1:8" x14ac:dyDescent="0.25">
      <c r="A15" s="46" t="s">
        <v>73</v>
      </c>
      <c r="B15" s="44">
        <v>2300</v>
      </c>
      <c r="C15" s="44">
        <v>2300</v>
      </c>
      <c r="D15" s="44">
        <v>2450</v>
      </c>
      <c r="E15" s="44">
        <v>2300</v>
      </c>
      <c r="F15" s="44">
        <v>2450</v>
      </c>
      <c r="G15" s="44">
        <v>2450</v>
      </c>
      <c r="H15" s="44">
        <v>14250</v>
      </c>
    </row>
    <row r="16" spans="1:8" x14ac:dyDescent="0.25">
      <c r="A16" s="46" t="s">
        <v>76</v>
      </c>
      <c r="B16" s="44">
        <v>288.44</v>
      </c>
      <c r="C16" s="44">
        <v>288.44</v>
      </c>
      <c r="D16" s="44">
        <v>508.17</v>
      </c>
      <c r="E16" s="44">
        <v>508.17</v>
      </c>
      <c r="F16" s="44">
        <v>808.17</v>
      </c>
      <c r="G16" s="44">
        <v>745</v>
      </c>
      <c r="H16" s="44">
        <v>3146.39</v>
      </c>
    </row>
    <row r="17" spans="1:8" x14ac:dyDescent="0.25">
      <c r="A17" s="46" t="s">
        <v>74</v>
      </c>
      <c r="B17" s="44">
        <v>380</v>
      </c>
      <c r="C17" s="44">
        <v>400</v>
      </c>
      <c r="D17" s="44">
        <v>380</v>
      </c>
      <c r="E17" s="44">
        <v>380</v>
      </c>
      <c r="F17" s="44">
        <v>480</v>
      </c>
      <c r="G17" s="44">
        <v>510</v>
      </c>
      <c r="H17" s="44">
        <v>2530</v>
      </c>
    </row>
    <row r="18" spans="1:8" x14ac:dyDescent="0.25">
      <c r="A18" s="22" t="s">
        <v>82</v>
      </c>
      <c r="B18" s="44">
        <v>11046.44</v>
      </c>
      <c r="C18" s="44">
        <v>13036.44</v>
      </c>
      <c r="D18" s="44">
        <v>13052.17</v>
      </c>
      <c r="E18" s="44">
        <v>13730.17</v>
      </c>
      <c r="F18" s="44">
        <v>16452.169999999998</v>
      </c>
      <c r="G18" s="44">
        <v>17352</v>
      </c>
      <c r="H18" s="44">
        <v>84669.39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Acomodações</vt:lpstr>
      <vt:lpstr>Clientes</vt:lpstr>
      <vt:lpstr>Reservas</vt:lpstr>
      <vt:lpstr>Tabela Dinâmica</vt:lpstr>
      <vt:lpstr>Dados</vt:lpstr>
      <vt:lpstr>Lição de Casa</vt:lpstr>
      <vt:lpstr>Tabela Dinâmica Pessoal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Aramaica</cp:lastModifiedBy>
  <dcterms:created xsi:type="dcterms:W3CDTF">2018-12-26T19:59:31Z</dcterms:created>
  <dcterms:modified xsi:type="dcterms:W3CDTF">2018-12-27T02:08:05Z</dcterms:modified>
</cp:coreProperties>
</file>